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michabr4/Desktop/Digitized Delivery - GES/"/>
    </mc:Choice>
  </mc:AlternateContent>
  <xr:revisionPtr revIDLastSave="0" documentId="13_ncr:1_{C5E76877-FDFD-0547-A291-46F6B9264C84}" xr6:coauthVersionLast="47" xr6:coauthVersionMax="47" xr10:uidLastSave="{00000000-0000-0000-0000-000000000000}"/>
  <bookViews>
    <workbookView xWindow="0" yWindow="1320" windowWidth="38400" windowHeight="19800" xr2:uid="{00000000-000D-0000-FFFF-FFFF00000000}"/>
  </bookViews>
  <sheets>
    <sheet name="as-Code Active Customers" sheetId="1" r:id="rId1"/>
    <sheet name="ref_values" sheetId="2" state="hidden" r:id="rId2"/>
    <sheet name="Active Customer PID_Alignment" sheetId="7" r:id="rId3"/>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 i="2" l="1"/>
  <c r="K42" i="2"/>
  <c r="L41" i="2"/>
  <c r="K41" i="2"/>
  <c r="L40" i="2"/>
  <c r="K40" i="2"/>
  <c r="L39" i="2"/>
  <c r="K39" i="2"/>
  <c r="L38" i="2"/>
  <c r="K38" i="2"/>
  <c r="L37" i="2"/>
  <c r="K37" i="2"/>
  <c r="L36" i="2"/>
  <c r="K36" i="2"/>
  <c r="L35" i="2"/>
  <c r="K35" i="2"/>
  <c r="L34" i="2"/>
  <c r="K34" i="2"/>
  <c r="L33" i="2"/>
  <c r="K33" i="2"/>
  <c r="L32" i="2"/>
  <c r="K32" i="2"/>
  <c r="L31" i="2"/>
  <c r="K31" i="2"/>
  <c r="L30" i="2"/>
  <c r="K30" i="2"/>
  <c r="L29" i="2"/>
  <c r="K29"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13" i="2"/>
  <c r="K13" i="2"/>
  <c r="L12" i="2"/>
  <c r="K12" i="2"/>
  <c r="L11" i="2"/>
  <c r="K11" i="2"/>
  <c r="L10" i="2"/>
  <c r="K10" i="2"/>
  <c r="L9" i="2"/>
  <c r="K9" i="2"/>
  <c r="L8" i="2"/>
  <c r="K8" i="2"/>
  <c r="L7" i="2"/>
  <c r="K7" i="2"/>
  <c r="L6" i="2"/>
  <c r="K6" i="2"/>
  <c r="L5" i="2"/>
  <c r="K5" i="2"/>
  <c r="L4" i="2"/>
  <c r="K4" i="2"/>
  <c r="L3" i="2"/>
  <c r="K3" i="2"/>
  <c r="J40" i="1" a="1"/>
  <c r="J40" i="1" s="1"/>
  <c r="J129" i="1" a="1"/>
  <c r="J129" i="1" s="1"/>
  <c r="J111" i="1" a="1"/>
  <c r="J111" i="1" s="1"/>
  <c r="J124" i="1" a="1"/>
  <c r="J124" i="1" s="1"/>
  <c r="J121" i="1" a="1"/>
  <c r="J121" i="1" s="1"/>
  <c r="J120" i="1" a="1"/>
  <c r="J120" i="1" s="1"/>
  <c r="J119" i="1" a="1"/>
  <c r="J119" i="1" s="1"/>
  <c r="J28" i="1" a="1"/>
  <c r="J28" i="1" s="1"/>
  <c r="J27" i="1" a="1"/>
  <c r="J27" i="1" s="1"/>
  <c r="J9" i="1" a="1"/>
  <c r="J9" i="1" s="1"/>
  <c r="J18" i="1" a="1"/>
  <c r="J18" i="1" s="1"/>
  <c r="J99" i="1" a="1"/>
  <c r="J99" i="1" s="1"/>
  <c r="J74" i="1" a="1"/>
  <c r="J74" i="1" s="1"/>
  <c r="J73" i="1" a="1"/>
  <c r="J73" i="1" s="1"/>
  <c r="J72" i="1" a="1"/>
  <c r="J72" i="1" s="1"/>
  <c r="J71" i="1" a="1"/>
  <c r="J71" i="1" s="1"/>
  <c r="J70" i="1" a="1"/>
  <c r="J70" i="1" s="1"/>
  <c r="J69" i="1" a="1"/>
  <c r="J69" i="1" s="1"/>
  <c r="J68" i="1" a="1"/>
  <c r="J68" i="1" s="1"/>
  <c r="J67" i="1" a="1"/>
  <c r="J67" i="1" s="1"/>
  <c r="J66" i="1" a="1"/>
  <c r="J66" i="1" s="1"/>
  <c r="J65" i="1" a="1"/>
  <c r="J65" i="1" s="1"/>
  <c r="J140" i="1" a="1"/>
  <c r="J140" i="1" s="1"/>
  <c r="J131" i="1" a="1"/>
  <c r="J131" i="1" s="1"/>
  <c r="J63" i="1" a="1"/>
  <c r="J63" i="1" s="1"/>
  <c r="J95" i="1" a="1"/>
  <c r="J95" i="1" s="1"/>
  <c r="J144" i="1" a="1"/>
  <c r="J144" i="1" s="1"/>
  <c r="J143" i="1" a="1"/>
  <c r="J143" i="1" s="1"/>
  <c r="J137" i="1" a="1"/>
  <c r="J137" i="1" s="1"/>
  <c r="J136" i="1" a="1"/>
  <c r="J136" i="1" s="1"/>
  <c r="J133" i="1" a="1"/>
  <c r="J133" i="1" s="1"/>
  <c r="J128" i="1" a="1"/>
  <c r="J128" i="1" s="1"/>
  <c r="J127" i="1" a="1"/>
  <c r="J127" i="1" s="1"/>
  <c r="J126" i="1" a="1"/>
  <c r="J126" i="1" s="1"/>
  <c r="J125" i="1" a="1"/>
  <c r="J125" i="1" s="1"/>
  <c r="J123" i="1" a="1"/>
  <c r="J123" i="1" s="1"/>
  <c r="J122" i="1" a="1"/>
  <c r="J122" i="1" s="1"/>
  <c r="J117" i="1" a="1"/>
  <c r="J117" i="1" s="1"/>
  <c r="J116" i="1" a="1"/>
  <c r="J116" i="1" s="1"/>
  <c r="J115" i="1" a="1"/>
  <c r="J115" i="1" s="1"/>
  <c r="J114" i="1" a="1"/>
  <c r="J114" i="1" s="1"/>
  <c r="J113" i="1" a="1"/>
  <c r="J113" i="1" s="1"/>
  <c r="J112" i="1" a="1"/>
  <c r="J112" i="1" s="1"/>
  <c r="J108" i="1" a="1"/>
  <c r="J108" i="1" s="1"/>
  <c r="J107" i="1" a="1"/>
  <c r="J107" i="1" s="1"/>
  <c r="J106" i="1" a="1"/>
  <c r="J106" i="1" s="1"/>
  <c r="J105" i="1" a="1"/>
  <c r="J105" i="1" s="1"/>
  <c r="J104" i="1" a="1"/>
  <c r="J104" i="1" s="1"/>
  <c r="J103" i="1" a="1"/>
  <c r="J103" i="1" s="1"/>
  <c r="J102" i="1" a="1"/>
  <c r="J102" i="1" s="1"/>
  <c r="J101" i="1" a="1"/>
  <c r="J101" i="1" s="1"/>
  <c r="J91" i="1" a="1"/>
  <c r="J91" i="1" s="1"/>
  <c r="J90" i="1" a="1"/>
  <c r="J90" i="1" s="1"/>
  <c r="J89" i="1" a="1"/>
  <c r="J89" i="1" s="1"/>
  <c r="J88" i="1" a="1"/>
  <c r="J88" i="1" s="1"/>
  <c r="J87" i="1" a="1"/>
  <c r="J87" i="1" s="1"/>
  <c r="J86" i="1" a="1"/>
  <c r="J86" i="1" s="1"/>
  <c r="J85" i="1" a="1"/>
  <c r="J85" i="1" s="1"/>
  <c r="J82" i="1" a="1"/>
  <c r="J82" i="1" s="1"/>
  <c r="J81" i="1" a="1"/>
  <c r="J81" i="1" s="1"/>
  <c r="J80" i="1" a="1"/>
  <c r="J80" i="1" s="1"/>
  <c r="J79" i="1" a="1"/>
  <c r="J79" i="1" s="1"/>
  <c r="J60" i="1" a="1"/>
  <c r="J60" i="1" s="1"/>
  <c r="J59" i="1" a="1"/>
  <c r="J59" i="1" s="1"/>
  <c r="J58" i="1" a="1"/>
  <c r="J58" i="1" s="1"/>
  <c r="J52" i="1" a="1"/>
  <c r="J52" i="1" s="1"/>
  <c r="J51" i="1" a="1"/>
  <c r="J51" i="1" s="1"/>
  <c r="J50" i="1" a="1"/>
  <c r="J50" i="1" s="1"/>
  <c r="J49" i="1" a="1"/>
  <c r="J49" i="1" s="1"/>
  <c r="J47" i="1" a="1"/>
  <c r="J47" i="1" s="1"/>
  <c r="J46" i="1" a="1"/>
  <c r="J46" i="1" s="1"/>
  <c r="J45" i="1" a="1"/>
  <c r="J45" i="1" s="1"/>
  <c r="J44" i="1" a="1"/>
  <c r="J44" i="1" s="1"/>
  <c r="J43" i="1" a="1"/>
  <c r="J43" i="1" s="1"/>
  <c r="J42" i="1" a="1"/>
  <c r="J42" i="1" s="1"/>
  <c r="J37" i="1" a="1"/>
  <c r="J37" i="1" s="1"/>
  <c r="J36" i="1" a="1"/>
  <c r="J36" i="1" s="1"/>
  <c r="J34" i="1" a="1"/>
  <c r="J34" i="1" s="1"/>
  <c r="J33" i="1" a="1"/>
  <c r="J33" i="1" s="1"/>
  <c r="J32" i="1" a="1"/>
  <c r="J32" i="1" s="1"/>
  <c r="J31" i="1" a="1"/>
  <c r="J31" i="1" s="1"/>
  <c r="J29" i="1" a="1"/>
  <c r="J29" i="1" s="1"/>
  <c r="J25" i="1" a="1"/>
  <c r="J25" i="1" s="1"/>
  <c r="J24" i="1" a="1"/>
  <c r="J24" i="1" s="1"/>
  <c r="J23" i="1" a="1"/>
  <c r="J23" i="1" s="1"/>
  <c r="J11" i="1" a="1"/>
  <c r="J11" i="1" s="1"/>
  <c r="J10" i="1" a="1"/>
  <c r="J10" i="1" s="1"/>
  <c r="J8" i="1" a="1"/>
  <c r="J8" i="1"/>
  <c r="J7" i="1" a="1"/>
  <c r="J7" i="1"/>
  <c r="J6" i="1" a="1"/>
  <c r="J6" i="1"/>
  <c r="J5" i="1" a="1"/>
  <c r="J5" i="1"/>
  <c r="J4" i="1" a="1"/>
  <c r="J4" i="1"/>
  <c r="J3" i="1" a="1"/>
  <c r="J3" i="1"/>
  <c r="J2" i="1" a="1"/>
  <c r="J2" i="1"/>
</calcChain>
</file>

<file path=xl/sharedStrings.xml><?xml version="1.0" encoding="utf-8"?>
<sst xmlns="http://schemas.openxmlformats.org/spreadsheetml/2006/main" count="1608" uniqueCount="293">
  <si>
    <t>Customer Name</t>
  </si>
  <si>
    <t>Priority</t>
  </si>
  <si>
    <t>Customer Segment</t>
  </si>
  <si>
    <t>Technologies</t>
  </si>
  <si>
    <t>Existing Services</t>
  </si>
  <si>
    <t>Approximate Deal Size</t>
  </si>
  <si>
    <t>Customer Network Access</t>
  </si>
  <si>
    <t>Start Date</t>
  </si>
  <si>
    <t>Implementation Team</t>
  </si>
  <si>
    <t>NaC Score</t>
  </si>
  <si>
    <t>Architecture CDA/CE</t>
  </si>
  <si>
    <t>Theater CDA</t>
  </si>
  <si>
    <t>Theater CDA Leader</t>
  </si>
  <si>
    <t>NaC Parity Reviewer</t>
  </si>
  <si>
    <t>NaC Parity Complete</t>
  </si>
  <si>
    <t>NaC Parity Comments</t>
  </si>
  <si>
    <t>NaC Parity %</t>
  </si>
  <si>
    <t>Next Steps</t>
  </si>
  <si>
    <t>Status / Comments</t>
  </si>
  <si>
    <t>Headwinds</t>
  </si>
  <si>
    <t>Client ready for as code</t>
  </si>
  <si>
    <t>3M</t>
  </si>
  <si>
    <t>None</t>
  </si>
  <si>
    <t>GES-Central</t>
  </si>
  <si>
    <t>Cat-C/SDA</t>
  </si>
  <si>
    <t>No</t>
  </si>
  <si>
    <t>Birch Hansen (birhanse)</t>
  </si>
  <si>
    <t>Parity (raw): 0 | Controller access (survey): No</t>
  </si>
  <si>
    <t>AAFES</t>
  </si>
  <si>
    <t>GES-West</t>
  </si>
  <si>
    <t>Abe Basurto Reyes (abbasurt)</t>
  </si>
  <si>
    <t>Parity (raw): No direct access | Controller access (survey): No</t>
  </si>
  <si>
    <t>Abbvie</t>
  </si>
  <si>
    <t>SD-WAN</t>
  </si>
  <si>
    <t>Yes</t>
  </si>
  <si>
    <t>Freddy Morales (fremoral)</t>
  </si>
  <si>
    <t>Parity (raw): 100 | Report: https://cisco-my.sharepoint.com/personal/dhprajap_cisco_com/Documents/Apps/Microsoft%20Forms/Customer%20NaC%20Parity%20Database/Question/sdwan-report-Abbvie_Freddy%20Morales.pdf | Controller access (survey): Yes</t>
  </si>
  <si>
    <t>ADP</t>
  </si>
  <si>
    <t>GES-East</t>
  </si>
  <si>
    <t>Alex Guckin (aguckin)</t>
  </si>
  <si>
    <t>Alcon</t>
  </si>
  <si>
    <t>Amna Ali (amnali)</t>
  </si>
  <si>
    <t>Parity (raw): I don't have direct access to the customer's Controllers. | Controller access (survey): No</t>
  </si>
  <si>
    <t>Ameriprise</t>
  </si>
  <si>
    <t>Autozone</t>
  </si>
  <si>
    <t>PDI</t>
  </si>
  <si>
    <t>$100,000-$500,000</t>
  </si>
  <si>
    <t>1 Month</t>
  </si>
  <si>
    <t>Migration</t>
  </si>
  <si>
    <t>Amod Augustin</t>
  </si>
  <si>
    <t>Parity exercise not completed</t>
  </si>
  <si>
    <t>Bank of America</t>
  </si>
  <si>
    <t>High</t>
  </si>
  <si>
    <t>GES-Premier</t>
  </si>
  <si>
    <t>BCS/LCS</t>
  </si>
  <si>
    <t>&gt;$1M</t>
  </si>
  <si>
    <t>3 Months</t>
  </si>
  <si>
    <t>Lei Tian</t>
  </si>
  <si>
    <t>Cigna</t>
  </si>
  <si>
    <t>Low</t>
  </si>
  <si>
    <t>6 Months</t>
  </si>
  <si>
    <t>Customer</t>
  </si>
  <si>
    <t>ACI</t>
  </si>
  <si>
    <t>Costco</t>
  </si>
  <si>
    <t>Theater</t>
  </si>
  <si>
    <t>Sinan Asig, Derek Chu,Nikolai Vollmer</t>
  </si>
  <si>
    <t>Natambu Obleton</t>
  </si>
  <si>
    <t>Stewart Tan</t>
  </si>
  <si>
    <t>Sinan Asig (sasig)</t>
  </si>
  <si>
    <t>Parity (raw): 100% | Report: https://cisco-my.sharepoint.com/personal/dhprajap_cisco_com/_layouts/15/Doc.aspx?sourcedoc=%7BFEB51745-D85F-4D24-8B36-123C8C041E3D%7D&amp;file=Doc2_Sinan%20Asig.docx&amp;action=default&amp;mobileredirect=true | Controller access (survey): Yes</t>
  </si>
  <si>
    <t>SDWANasCode demos completed, customer interest in there. Next steps are discovery workshop for APAC region as-code MRF deployment.</t>
  </si>
  <si>
    <t>CVS Pharmacy</t>
  </si>
  <si>
    <t>CMS</t>
  </si>
  <si>
    <t>Identify New</t>
  </si>
  <si>
    <t>Meraki</t>
  </si>
  <si>
    <t>Lee Sudduth (new)</t>
  </si>
  <si>
    <t>CVS Pharmacy - TLM</t>
  </si>
  <si>
    <t>Karthik Prabanahdhan</t>
  </si>
  <si>
    <t>DELTA</t>
  </si>
  <si>
    <t>$500,000-$1M</t>
  </si>
  <si>
    <t>Oliver Jancevski, Zulfi Anees</t>
  </si>
  <si>
    <t>Vikas Bhadola</t>
  </si>
  <si>
    <t>DTCC</t>
  </si>
  <si>
    <t>NDFC</t>
  </si>
  <si>
    <t>Matt Horn</t>
  </si>
  <si>
    <t>Nikolai Vollmer</t>
  </si>
  <si>
    <t>Fannie Mae</t>
  </si>
  <si>
    <t>SME/SAS</t>
  </si>
  <si>
    <t>ISE</t>
  </si>
  <si>
    <t>Ramcharan Arya</t>
  </si>
  <si>
    <t>Fidelity</t>
  </si>
  <si>
    <t>Daniel Brooker (dabrooke)</t>
  </si>
  <si>
    <t>Parity (raw): 0% | Controller access (survey): No</t>
  </si>
  <si>
    <t>FISERV</t>
  </si>
  <si>
    <t>Rinku Mahecha</t>
  </si>
  <si>
    <t>Rowena Sequeira</t>
  </si>
  <si>
    <t>Tim Blanchard</t>
  </si>
  <si>
    <t>Ford</t>
  </si>
  <si>
    <t>Matthew Cobb</t>
  </si>
  <si>
    <t>GlobalFoundries</t>
  </si>
  <si>
    <t>Liberty Mutual</t>
  </si>
  <si>
    <t>Marshfield</t>
  </si>
  <si>
    <t>Partner</t>
  </si>
  <si>
    <t>Stuart Higgins/David Nolasco</t>
  </si>
  <si>
    <t>Stuart Higgins/Dean Delany</t>
  </si>
  <si>
    <t>IOS-XE</t>
  </si>
  <si>
    <t>Stuart Higgins/Anupam Dey</t>
  </si>
  <si>
    <t>Merck</t>
  </si>
  <si>
    <t>Jeff Phillips, Zahir Shivji</t>
  </si>
  <si>
    <t>Saurabh Sharma</t>
  </si>
  <si>
    <t>MetLife</t>
  </si>
  <si>
    <t>MGB</t>
  </si>
  <si>
    <t>Clark Dyson</t>
  </si>
  <si>
    <t>Dave Lucas</t>
  </si>
  <si>
    <t>Thomas Dunteman</t>
  </si>
  <si>
    <t>Dave Lucas / Khurram Masood</t>
  </si>
  <si>
    <t>Haibin Zhou (haizhou)</t>
  </si>
  <si>
    <t>Parity (raw): 58.7 | Report: https://cisco-my.sharepoint.com/personal/dhprajap_cisco_com/Documents/Apps/Microsoft%20Forms/Customer%20NaC%20Parity%20Database/Question/catc-report_Haibin%20Zhou.pdf</t>
  </si>
  <si>
    <t>NFCU</t>
  </si>
  <si>
    <t>James Dawkins</t>
  </si>
  <si>
    <t>NYCHHC</t>
  </si>
  <si>
    <t>Utkarsh Mahar</t>
  </si>
  <si>
    <t>FMC</t>
  </si>
  <si>
    <t>Pfizer</t>
  </si>
  <si>
    <t>Ramcharan Arya, James Dawkins</t>
  </si>
  <si>
    <t>PNC Bank</t>
  </si>
  <si>
    <t>2 Month</t>
  </si>
  <si>
    <t>Parity (raw): N/A | Controller access (survey): No</t>
  </si>
  <si>
    <t>Sanford Health</t>
  </si>
  <si>
    <t>Anupam Dey, Aslam Mohammad</t>
  </si>
  <si>
    <t>Pranav Patel, Jagadesh Nagaraj</t>
  </si>
  <si>
    <t>SMBC</t>
  </si>
  <si>
    <t>Takeda</t>
  </si>
  <si>
    <t>Sultan Ahmad</t>
  </si>
  <si>
    <t>The Home Depot</t>
  </si>
  <si>
    <t>&lt;$100,000</t>
  </si>
  <si>
    <t>Matt Coy, Jeff Hill, Syed Hasan</t>
  </si>
  <si>
    <t>Jeffery Hill (jeffhi)</t>
  </si>
  <si>
    <t>Parity (raw): 100 | Report: https://cisco-my.sharepoint.com/personal/dhprajap_cisco_com/Documents/Apps/Microsoft%20Forms/Customer%20NaC%20Parity%20Database/Question/sdwan-report_thd_ol4_Jeffery%20Hill.pdf | Controller access (survey): Yes</t>
  </si>
  <si>
    <t>UMMS</t>
  </si>
  <si>
    <t>9 Months</t>
  </si>
  <si>
    <t>MGM</t>
  </si>
  <si>
    <t>Demo to customer in Jan 2026</t>
  </si>
  <si>
    <t>SaaC deployed in lab enviroment and in testing. CX is recommending using it for Patch10 upgrade</t>
  </si>
  <si>
    <t>Humana</t>
  </si>
  <si>
    <t>State Street</t>
  </si>
  <si>
    <t>Jim Phillipo</t>
  </si>
  <si>
    <t>Truist</t>
  </si>
  <si>
    <t>IBM</t>
  </si>
  <si>
    <t>IOS-XR</t>
  </si>
  <si>
    <t>NX-OS</t>
  </si>
  <si>
    <t>Nationwide</t>
  </si>
  <si>
    <t>• 1.12.26 - SB "Nationwide: they will be going to 17.15 with a plan for UX2.0.  In addition, the primary engineer at NW has interest in As Code since they already use IaC for ACI, so we will be having discussions and evaluating the feasibility for SDWAN as Code.
• 1.26.26 - SB "Nationwide: Based on feedback from NW management and their success with IaC for ACI, it looks promising that we will have a SDWAN as code migration.  There is an internal call scheduled next week with myself and the account/delivery team to discuss the opportunity.
• 2.2.26 - SB "had the internal meeting to discus NaC at NW. The account team plans on drafting up a quote for SDWAN services as code. In the meantime I will continue to engage with NW presenting the benefits of NaC and possibly a demo"</t>
  </si>
  <si>
    <t>Carrier</t>
  </si>
  <si>
    <t>• 2.16.26 - AS "Carrier – “SDWAN as Code” internal discussion. Align internally on SDWAN-as-Code approach and prepare proposal options for Carrier.
 • Identified 3 possible offerings/approaches.
 • Antonio (PM) to help schedule internal review with Cisco architect before presenting to customer.
 • Internal SME sync scheduled Fri 2/13 (11:30–12:15).
Update:
Participated in the internal sync on Feb 11 to align on the SD-WAN as Code strategy for Carrier. Focused on preparing for customer inquiries regarding benefits and the learning curve. We are collaborating with Raul Gomez to leverage EMEA success stories and identify training boot camps to support this initiative. PM Daniel Reyes Moran will ensure that the team is prepared to present the new solution during the upcoming QBR (TBD).</t>
  </si>
  <si>
    <t>Amex</t>
  </si>
  <si>
    <t>CommonSpirit Health</t>
  </si>
  <si>
    <t>Limited engagement helping them implement ACI-as-Code.  Goal is to get a funded engagmenet with them long-term</t>
  </si>
  <si>
    <t>Lei Tian (letian)</t>
  </si>
  <si>
    <t>Parity (raw): 100% | Controller access (survey): Yes</t>
  </si>
  <si>
    <t>Leveraging LCS engagement to move sites from one vManage domain to another.</t>
  </si>
  <si>
    <t>SalesForce</t>
  </si>
  <si>
    <t>Positioning ISE as code for on-prem to cloud.  Moving away from VMWARE to AWS/Azure</t>
  </si>
  <si>
    <t>Targeting Workshop with CXTM to discuss capabilities and understand their requirements</t>
  </si>
  <si>
    <t>Schwab</t>
  </si>
  <si>
    <t xml:space="preserve">we are using it for code upgrade process and pre and post checks. </t>
  </si>
  <si>
    <t>Pepsi</t>
  </si>
  <si>
    <t>In Discussions on SaC</t>
  </si>
  <si>
    <t>Southern Cal Edison</t>
  </si>
  <si>
    <t>Early discussions on evaluating as-Code for Cat Center.  Not an SDA shop</t>
  </si>
  <si>
    <t>Exepdia</t>
  </si>
  <si>
    <t>Customer interested in doing NaC themselves.  CX providing info, but no active pursuit at this time</t>
  </si>
  <si>
    <t>Gilead Sciences</t>
  </si>
  <si>
    <t>Patrick Teague (pateague)</t>
  </si>
  <si>
    <t>Parity (raw): 100 | Report: https://cisco-my.sharepoint.com/personal/dhprajap_cisco_com/Documents/Apps/Microsoft%20Forms/Customer%20NaC%20Parity%20Database/Question/sdwan-report_Patrick%20Teague.pdf</t>
  </si>
  <si>
    <t>Montefiore</t>
  </si>
  <si>
    <t>Parity (raw): API Coverage: 100.0% Data Coverage: 100.0% | Report: https://cisco-my.sharepoint.com/personal/dhprajap_cisco_com/Documents/Apps/Microsoft%20Forms/Customer%20NaC%20Parity%20Database/Question/catc-report_Daniel%20Brooker.pdf</t>
  </si>
  <si>
    <t>MGB Cluster1</t>
  </si>
  <si>
    <t>Parity (raw): 100% | Report: https://cisco-my.sharepoint.com/personal/dhprajap_cisco_com/Documents/Apps/Microsoft%20Forms/Customer%20NaC%20Parity%20Database/Question/catc-report_Haibin%20Zhou%201.pdf</t>
  </si>
  <si>
    <t>Carrier Corporation</t>
  </si>
  <si>
    <t>Faraz Shamim (sshamim)</t>
  </si>
  <si>
    <t>Parity (raw): 100% | Report: https://cisco-my.sharepoint.com/personal/dhprajap_cisco_com/Documents/Apps/Microsoft%20Forms/Customer%20NaC%20Parity%20Database/Question/sdwan-report-carrier_Faraz%20Shamim.pdf</t>
  </si>
  <si>
    <t>Fidelity FIS</t>
  </si>
  <si>
    <t>Parity (raw): 100% | Report: https://cisco-my.sharepoint.com/personal/dhprajap_cisco_com/Documents/Apps/Microsoft%20Forms/Customer%20NaC%20Parity%20Database/Question/sdwan-report-fis_Faraz%20Shamim.pdf</t>
  </si>
  <si>
    <t>United Airlines</t>
  </si>
  <si>
    <t>Parity (raw): 100% | Report: https://cisco-my.sharepoint.com/personal/dhprajap_cisco_com/Documents/Apps/Microsoft%20Forms/Customer%20NaC%20Parity%20Database/Question/sdwan-report-united_Faraz%20Shamim.pdf</t>
  </si>
  <si>
    <t>Delta Airlines</t>
  </si>
  <si>
    <t>Parity (raw): 100% | Report: https://cisco-my.sharepoint.com/personal/dhprajap_cisco_com/Documents/Apps/Microsoft%20Forms/Customer%20NaC%20Parity%20Database/Question/sdwan-report-delta_Faraz%20Shamim.pdf</t>
  </si>
  <si>
    <t>CoX</t>
  </si>
  <si>
    <t>Derek Chu (derchu)</t>
  </si>
  <si>
    <t>Parity (raw): 100% | Report: https://cisco-my.sharepoint.com/personal/dhprajap_cisco_com/Documents/Apps/Microsoft%20Forms/Customer%20NaC%20Parity%20Database/Question/sdwan-report-cox_nac-parity_Derek%20Chu.pdf</t>
  </si>
  <si>
    <t>Huntington National Bank</t>
  </si>
  <si>
    <t>Scott Brinkerhoff (scbrinke)</t>
  </si>
  <si>
    <t>Parity (raw): 100 | Report: https://cisco-my.sharepoint.com/personal/dhprajap_cisco_com/Documents/Apps/Microsoft%20Forms/Customer%20NaC%20Parity%20Database/Question/HNB_sdwan-report_Scott%20Brinkerhoff.pdf</t>
  </si>
  <si>
    <t>KeyBank</t>
  </si>
  <si>
    <t>Parity (raw): 100 | Report: https://cisco-my.sharepoint.com/personal/dhprajap_cisco_com/Documents/Apps/Microsoft%20Forms/Customer%20NaC%20Parity%20Database/Question/KB_sdwan-report_Scott%20Brinkerhoff.pdf</t>
  </si>
  <si>
    <t>Mayo Clinic</t>
  </si>
  <si>
    <t>Parity (raw): 100 | Report: https://cisco-my.sharepoint.com/personal/dhprajap_cisco_com/Documents/Apps/Microsoft%20Forms/Customer%20NaC%20Parity%20Database/Question/mayo_sdwan-report_Scott%20Brinkerhoff.pdf</t>
  </si>
  <si>
    <t>THD SD-WAN (Overlay 1-4)</t>
  </si>
  <si>
    <t>Jacob Peracchio (jperacch)</t>
  </si>
  <si>
    <t>Parity (raw): OL 1-4: API: 100% Data: 100% | Report: https://cisco-my.sharepoint.com/personal/dhprajap_cisco_com/_layouts/15/Doc.aspx?sourcedoc=%7BE6FF775C-1A89-482B-A256-A316EB82FCC2%7D&amp;file=NAC%20Parity%20Check_Jacob%20Peracchio.docx&amp;action=default&amp;mobileredirect=true</t>
  </si>
  <si>
    <t>Tepper Sports &amp; Entertainment</t>
  </si>
  <si>
    <t>Kaseima Frye (kafrye)</t>
  </si>
  <si>
    <t>Parity (raw): 100% | Report: https://cisco-my.sharepoint.com/personal/dhprajap_cisco_com/Documents/Apps/Microsoft%20Forms/Customer%20NaC%20Parity%20Database/Question/catalystcenter-report_Kaseima%20Frye.pdf | Controller access (survey): Yes</t>
  </si>
  <si>
    <t>John Ryan - Test</t>
  </si>
  <si>
    <t>John Ryan (johnrya@cisco.com)</t>
  </si>
  <si>
    <t>L'Oreal</t>
  </si>
  <si>
    <t>Suzy Titton (stitton)</t>
  </si>
  <si>
    <t>Charter Enterprise</t>
  </si>
  <si>
    <t>Publix</t>
  </si>
  <si>
    <t>New York City Health and Hospitals</t>
  </si>
  <si>
    <t>Artem Surjko (asurjko)</t>
  </si>
  <si>
    <t>Morgan Stanley</t>
  </si>
  <si>
    <t>Yifang Zhuang (yizhuang)</t>
  </si>
  <si>
    <t>Wells Fargo</t>
  </si>
  <si>
    <t>Ken Fulmer (kefulmer)</t>
  </si>
  <si>
    <t>Southern California Edison</t>
  </si>
  <si>
    <t>Tim Roberts (timrober)</t>
  </si>
  <si>
    <t>General Motors, United Health Group, Deloitte, Costco, Amtrak and Commonwealth of Pennsylvania</t>
  </si>
  <si>
    <t>Mark Renzo (mrenzo)</t>
  </si>
  <si>
    <t>Shawn Leonard (shleonar)</t>
  </si>
  <si>
    <t>Carnival Cruises</t>
  </si>
  <si>
    <t>Ricard Badia (ribadia)</t>
  </si>
  <si>
    <t>State Street bank</t>
  </si>
  <si>
    <t>Jim Phillipo (jamphill)</t>
  </si>
  <si>
    <t>ExxonMobil</t>
  </si>
  <si>
    <t>Martin Tassi (martassi)</t>
  </si>
  <si>
    <t>Exelon</t>
  </si>
  <si>
    <t>Michael Stewart (mstewar2)</t>
  </si>
  <si>
    <t>Parity (raw): 100 | Report: https://cisco-my.sharepoint.com/personal/dhprajap_cisco_com/Documents/Apps/Microsoft%20Forms/Customer%20NaC%20Parity%20Database/Question/Exelon-sdwan-report_Michael%20Stewart.pdf | Controller access (survey): Yes</t>
  </si>
  <si>
    <t>Parity (raw): 0 | Controller access (survey): Yes</t>
  </si>
  <si>
    <t>Bank Of America, Cedars Sinai</t>
  </si>
  <si>
    <t>Sharan Shet (sharans@cisco.com)</t>
  </si>
  <si>
    <t>Parity (raw): NA | Controller access (survey): No</t>
  </si>
  <si>
    <t>Gilead</t>
  </si>
  <si>
    <t>Yi-Hung Chung (ychung)</t>
  </si>
  <si>
    <t>Parity (raw): 100% | Report: https://cisco-my.sharepoint.com/personal/dhprajap_cisco_com/Documents/Apps/Microsoft%20Forms/Customer%20NaC%20Parity%20Database/Question/Gilead_Sciences-CatC-Tokyo_JPAC-parity-report_Yi-Hung%20Chung.pdf; https://cisco-my.sharepoint.com/personal/dhprajap_cisco_com/Documents/Apps/Microsoft%20Forms/Customer%20NaC%20Parity%20Database/Question/Gilead_Sciences-CatC-London_EMEA-parity-repor_Yi-Hung%20Chung.pdf; https://cisco-my.sharepoint.com/personal/dhprajap_cisco_com/Documents/Apps/Microsoft%20Forms/Customer%20NaC%20Parity%20Database/Question/Gilead_Sciences-CatC-Ashburn-parity-report_Yi-Hung%20Chung.pdf; https://cisco-my.sharepoint.com/personal/dhprajap_cisco_com/Documents/Apps/Microsoft%20Forms/Customer%20NaC%20Parity%20Database/Question/Gilead_Sciences-CatC-SanJose-parity-report_Yi-Hung%20Chung.pdf | Controller access (survey): Yes</t>
  </si>
  <si>
    <t>HCA Healthcare</t>
  </si>
  <si>
    <t>Parity (raw): 100 | Report: https://cisco-my.sharepoint.com/personal/dhprajap_cisco_com/Documents/Apps/Microsoft%20Forms/Customer%20NaC%20Parity%20Database/Question/sdwan-report-HCA.md_Freddy%20Morales.pdf | Controller access (survey): Yes</t>
  </si>
  <si>
    <t>NYULH</t>
  </si>
  <si>
    <t>Micron</t>
  </si>
  <si>
    <t>Parity (raw): 100 | Report: https://cisco-my.sharepoint.com/personal/dhprajap_cisco_com/Documents/Apps/Microsoft%20Forms/Customer%20NaC%20Parity%20Database/Question/sdwan-report-Micron_Freddy%20Morales.pdf | Controller access (survey): Yes</t>
  </si>
  <si>
    <t>Blackrock</t>
  </si>
  <si>
    <t>TIAA</t>
  </si>
  <si>
    <t>Brett Rosenbrook (brosenbr)</t>
  </si>
  <si>
    <t>Parity (raw): No access | Controller access (survey): No</t>
  </si>
  <si>
    <t>British Telecom - Bristol Myers Squibb</t>
  </si>
  <si>
    <t>Sri Raghava Chennupati (chchennu)</t>
  </si>
  <si>
    <t>Parity (raw): 100 | Report: https://cisco-my.sharepoint.com/personal/dhprajap_cisco_com/Documents/Apps/Microsoft%20Forms/Customer%20NaC%20Parity%20Database/Question/BT-sdwan-report-prod_Sri%20Raghava%20Chennupa.pdf | Controller access (survey): Yes</t>
  </si>
  <si>
    <t>ICE -DHS (Department of Homeland Security)</t>
  </si>
  <si>
    <t>Mass General Brigham</t>
  </si>
  <si>
    <t>Clark Dyson (cldyson)</t>
  </si>
  <si>
    <t>Parity (raw): 100 | Report: https://cisco-my.sharepoint.com/personal/dhprajap_cisco_com/Documents/Apps/Microsoft%20Forms/Customer%20NaC%20Parity%20Database/Question/mgb-sdwan-report_Clark%20Dyson.pdf | Controller access (survey): Yes</t>
  </si>
  <si>
    <t>CDK Global</t>
  </si>
  <si>
    <t>Parity (raw): 100 | Report: https://cisco-my.sharepoint.com/personal/dhprajap_cisco_com/Documents/Apps/Microsoft%20Forms/Customer%20NaC%20Parity%20Database/Question/cdk-sdwan-report_Clark%20Dyson.pdf | Controller access (survey): Yes</t>
  </si>
  <si>
    <t>Commonspirit</t>
  </si>
  <si>
    <t>Mahim Hingorani (mahingorani)</t>
  </si>
  <si>
    <t>Parity (raw): No Access | Controller access (survey): No</t>
  </si>
  <si>
    <t>Boeing</t>
  </si>
  <si>
    <t>Mahim Hingorani (mahingor)</t>
  </si>
  <si>
    <t>BNY</t>
  </si>
  <si>
    <t>Parity (raw): Error in collection (Reached out to Mikey) | Controller access (survey): Yes</t>
  </si>
  <si>
    <t>Charles Schwab</t>
  </si>
  <si>
    <t>HCA</t>
  </si>
  <si>
    <t>Jacky Ball</t>
  </si>
  <si>
    <t>Parity (raw): 100 | Report: https://cisco-my.sharepoint.com/personal/dhprajap_cisco_com/Documents/Apps/Microsoft%20Forms/Customer%20NaC%20Parity%20Database/Question/Cap_catalystcenter-report_Jacky%20Ball.pdf; https://cisco-my.sharepoint.com/personal/dhprajap_cisco_com/Documents/Apps/Microsoft%20Forms/Customer%20NaC%20Parity%20Database/Question/Efl_catalystcenter-report_Jacky%20Ball.pdf | Controller access (survey): Yes</t>
  </si>
  <si>
    <t>TransUnion</t>
  </si>
  <si>
    <t>Pacific Gas and Electric</t>
  </si>
  <si>
    <t>Jagadesh Nagaraj (jagadnag)</t>
  </si>
  <si>
    <t>Parity (raw): We are waiting to get access to the controller, it is still in POC | Controller access (survey): No</t>
  </si>
  <si>
    <t>MGB SVS Lab</t>
  </si>
  <si>
    <t>Thomas Dunteman (tduntema)</t>
  </si>
  <si>
    <t>Parity (raw): 58 | Report: https://cisco-my.sharepoint.com/personal/dhprajap_cisco_com/Documents/Apps/Microsoft%20Forms/Customer%20NaC%20Parity%20Database/Question/MGB%20SVS%20Lab%20nac-parity_Thomas%20Dunteman.pdf | Controller access (survey): Yes</t>
  </si>
  <si>
    <t>MGB Cluster 2</t>
  </si>
  <si>
    <t>Parity (raw): 61.7 | Report: https://cisco-my.sharepoint.com/personal/dhprajap_cisco_com/Documents/Apps/Microsoft%20Forms/Customer%20NaC%20Parity%20Database/Question/MGB%20Cluster%202%20nac-parity_Thomas%20Dunteman.pdf | Controller access (survey): Yes</t>
  </si>
  <si>
    <t>cust_segment</t>
  </si>
  <si>
    <t>tech</t>
  </si>
  <si>
    <t>ext_svc</t>
  </si>
  <si>
    <t>deal_size</t>
  </si>
  <si>
    <t>net_access</t>
  </si>
  <si>
    <t>start_date</t>
  </si>
  <si>
    <t>impl_team</t>
  </si>
  <si>
    <t>priority</t>
  </si>
  <si>
    <t>category</t>
  </si>
  <si>
    <t>value</t>
  </si>
  <si>
    <t>score</t>
  </si>
  <si>
    <t>Other</t>
  </si>
  <si>
    <t>Partner-Led</t>
  </si>
  <si>
    <t>1 Year</t>
  </si>
  <si>
    <t>Multiple</t>
  </si>
  <si>
    <t>Targeted Use Case(s)</t>
  </si>
  <si>
    <t>Project ID Alignment</t>
  </si>
  <si>
    <t>Flagged in SDC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</si>
</sst>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2"/>
      <color theme="1"/>
      <name val="CiscoSansTTLight"/>
      <family val="2"/>
    </font>
    <font>
      <b/>
      <sz val="12"/>
      <color theme="0"/>
      <name val="CiscoSansTT"/>
      <family val="2"/>
    </font>
    <font>
      <sz val="12"/>
      <name val="CiscoSansTTLight"/>
      <family val="2"/>
    </font>
    <font>
      <sz val="12"/>
      <color rgb="FFFF0000"/>
      <name val="CiscoSansTTLight"/>
    </font>
    <font>
      <sz val="12"/>
      <color rgb="FFFF0000"/>
      <name val="CiscoSansTTLight"/>
      <family val="2"/>
    </font>
    <font>
      <sz val="12"/>
      <color theme="1"/>
      <name val="CiscoSansTT Light"/>
      <family val="2"/>
    </font>
    <font>
      <sz val="12"/>
      <color theme="1"/>
      <name val="CiscoSansTTLight"/>
      <family val="2"/>
    </font>
  </fonts>
  <fills count="6">
    <fill>
      <patternFill patternType="none"/>
    </fill>
    <fill>
      <patternFill patternType="gray125"/>
    </fill>
    <fill>
      <patternFill patternType="solid">
        <fgColor theme="7"/>
        <bgColor indexed="64"/>
      </patternFill>
    </fill>
    <fill>
      <patternFill patternType="solid">
        <fgColor rgb="FF002060"/>
        <bgColor indexed="64"/>
      </patternFill>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6" fillId="0" borderId="0"/>
  </cellStyleXfs>
  <cellXfs count="22">
    <xf numFmtId="0" fontId="0" fillId="0" borderId="0" xfId="0"/>
    <xf numFmtId="0" fontId="0" fillId="0" borderId="0" xfId="0" applyAlignment="1">
      <alignment horizontal="center" vertical="center" wrapText="1"/>
    </xf>
    <xf numFmtId="0" fontId="1" fillId="2" borderId="0" xfId="0" applyFont="1" applyFill="1" applyAlignment="1">
      <alignment horizontal="center" vertical="center" wrapText="1"/>
    </xf>
    <xf numFmtId="1" fontId="0" fillId="0" borderId="0" xfId="0" applyNumberFormat="1"/>
    <xf numFmtId="164" fontId="1" fillId="3" borderId="0" xfId="0" applyNumberFormat="1" applyFont="1" applyFill="1" applyAlignment="1">
      <alignment horizontal="center" vertical="center" wrapText="1"/>
    </xf>
    <xf numFmtId="164" fontId="0" fillId="0" borderId="0" xfId="0" applyNumberFormat="1" applyAlignment="1">
      <alignment horizontal="center"/>
    </xf>
    <xf numFmtId="0" fontId="2" fillId="0" borderId="0" xfId="0" applyFont="1"/>
    <xf numFmtId="0" fontId="2" fillId="0" borderId="0" xfId="0" applyFont="1" applyAlignment="1">
      <alignment horizontal="center"/>
    </xf>
    <xf numFmtId="0" fontId="0" fillId="4" borderId="0" xfId="0" applyFill="1"/>
    <xf numFmtId="0" fontId="3" fillId="0" borderId="0" xfId="0" applyFont="1"/>
    <xf numFmtId="0" fontId="4" fillId="0" borderId="0" xfId="0" applyFont="1"/>
    <xf numFmtId="0" fontId="0" fillId="0" borderId="0" xfId="0" applyAlignment="1">
      <alignment wrapText="1"/>
    </xf>
    <xf numFmtId="0" fontId="5" fillId="0" borderId="0" xfId="0" applyFont="1"/>
    <xf numFmtId="9" fontId="1" fillId="2" borderId="0" xfId="1" applyFont="1" applyFill="1" applyAlignment="1">
      <alignment horizontal="center" vertical="center" wrapText="1"/>
    </xf>
    <xf numFmtId="9" fontId="0" fillId="0" borderId="0" xfId="1" applyFont="1"/>
    <xf numFmtId="9" fontId="0" fillId="4" borderId="0" xfId="1" applyFont="1" applyFill="1"/>
    <xf numFmtId="49" fontId="0" fillId="0" borderId="0" xfId="0" applyNumberFormat="1"/>
    <xf numFmtId="9" fontId="0" fillId="0" borderId="0" xfId="0" applyNumberFormat="1"/>
    <xf numFmtId="0" fontId="0" fillId="5" borderId="1" xfId="0" applyFont="1" applyFill="1" applyBorder="1"/>
    <xf numFmtId="0" fontId="0" fillId="0" borderId="1" xfId="0" applyFont="1" applyBorder="1"/>
    <xf numFmtId="0" fontId="5" fillId="0" borderId="1" xfId="0" applyFont="1" applyBorder="1"/>
    <xf numFmtId="0" fontId="5" fillId="5" borderId="1" xfId="0" applyFont="1" applyFill="1" applyBorder="1"/>
  </cellXfs>
  <cellStyles count="2">
    <cellStyle name="Normal" xfId="0" builtinId="0"/>
    <cellStyle name="Percent" xfId="1" builtinId="5"/>
  </cellStyles>
  <dxfs count="7">
    <dxf>
      <font>
        <b val="0"/>
        <i val="0"/>
        <strike val="0"/>
        <condense val="0"/>
        <extend val="0"/>
        <outline val="0"/>
        <shadow val="0"/>
        <u val="none"/>
        <vertAlign val="baseline"/>
        <sz val="12"/>
        <color theme="1"/>
        <name val="CiscoSansTTLight"/>
        <family val="2"/>
        <scheme val="none"/>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color theme="0"/>
      </font>
      <fill>
        <patternFill>
          <bgColor theme="6"/>
        </patternFill>
      </fill>
    </dxf>
    <dxf>
      <font>
        <color theme="0"/>
      </font>
      <fill>
        <patternFill>
          <bgColor rgb="FFFF0000"/>
        </patternFill>
      </fill>
    </dxf>
    <dxf>
      <font>
        <color theme="0"/>
      </font>
      <fill>
        <patternFill>
          <bgColor theme="6"/>
        </patternFill>
      </fill>
    </dxf>
    <dxf>
      <font>
        <color theme="0"/>
      </font>
      <fill>
        <patternFill>
          <bgColor rgb="FFFF0000"/>
        </patternFill>
      </fill>
    </dxf>
    <dxf>
      <numFmt numFmtId="1" formatCode="0"/>
    </dxf>
    <dxf>
      <font>
        <b/>
        <strike val="0"/>
        <condense val="0"/>
        <extend val="0"/>
        <outline val="0"/>
        <shadow val="0"/>
        <vertAlign val="baseline"/>
        <sz val="12"/>
        <color theme="0"/>
        <name val="CiscoSansTT"/>
        <family val="2"/>
      </font>
      <fill>
        <patternFill patternType="solid">
          <fgColor indexed="64"/>
          <bgColor theme="7"/>
        </patternFill>
      </fill>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NaC_Readiness" displayName="tbl_NaC_Readiness" ref="A1:U146">
  <autoFilter ref="A1:U146" xr:uid="{00000000-0009-0000-0100-000001000000}"/>
  <sortState xmlns:xlrd2="http://schemas.microsoft.com/office/spreadsheetml/2017/richdata2" ref="A2:U146">
    <sortCondition ref="A2:A146"/>
  </sortState>
  <tableColumns count="21">
    <tableColumn id="1" xr3:uid="{00000000-0010-0000-0000-000001000000}" name="Customer Name"/>
    <tableColumn id="2" xr3:uid="{00000000-0010-0000-0000-000002000000}" name="Priority"/>
    <tableColumn id="3" xr3:uid="{00000000-0010-0000-0000-000003000000}" name="Customer Segment"/>
    <tableColumn id="4" xr3:uid="{00000000-0010-0000-0000-000004000000}" name="Technologies"/>
    <tableColumn id="5" xr3:uid="{00000000-0010-0000-0000-000005000000}" name="Existing Services"/>
    <tableColumn id="6" xr3:uid="{00000000-0010-0000-0000-000006000000}" name="Approximate Deal Size"/>
    <tableColumn id="7" xr3:uid="{00000000-0010-0000-0000-000007000000}" name="Customer Network Access"/>
    <tableColumn id="8" xr3:uid="{00000000-0010-0000-0000-000008000000}" name="Start Date"/>
    <tableColumn id="9" xr3:uid="{00000000-0010-0000-0000-000009000000}" name="Implementation Team"/>
    <tableColumn id="10" xr3:uid="{00000000-0010-0000-0000-00000A000000}" name="NaC Score"/>
    <tableColumn id="11" xr3:uid="{00000000-0010-0000-0000-00000B000000}" name="Architecture CDA/CE"/>
    <tableColumn id="12" xr3:uid="{00000000-0010-0000-0000-00000C000000}" name="Theater CDA"/>
    <tableColumn id="13" xr3:uid="{00000000-0010-0000-0000-00000D000000}" name="Theater CDA Leader"/>
    <tableColumn id="14" xr3:uid="{00000000-0010-0000-0000-00000E000000}" name="NaC Parity Reviewer"/>
    <tableColumn id="15" xr3:uid="{00000000-0010-0000-0000-00000F000000}" name="NaC Parity Complete"/>
    <tableColumn id="16" xr3:uid="{00000000-0010-0000-0000-000010000000}" name="NaC Parity Comments"/>
    <tableColumn id="17" xr3:uid="{00000000-0010-0000-0000-000011000000}" name="NaC Parity %"/>
    <tableColumn id="18" xr3:uid="{00000000-0010-0000-0000-000012000000}" name="Next Steps"/>
    <tableColumn id="19" xr3:uid="{00000000-0010-0000-0000-000013000000}" name="Status / Comments"/>
    <tableColumn id="20" xr3:uid="{00000000-0010-0000-0000-000014000000}" name="Headwinds"/>
    <tableColumn id="21" xr3:uid="{00000000-0010-0000-0000-000015000000}" name="Client ready for as 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fValues" displayName="RefValues" ref="B2:I13" totalsRowShown="0" headerRowDxfId="6">
  <autoFilter ref="B2:I13" xr:uid="{00000000-0009-0000-0100-000002000000}"/>
  <tableColumns count="8">
    <tableColumn id="1" xr3:uid="{00000000-0010-0000-0100-000001000000}" name="cust_segment"/>
    <tableColumn id="2" xr3:uid="{00000000-0010-0000-0100-000002000000}" name="tech"/>
    <tableColumn id="3" xr3:uid="{00000000-0010-0000-0100-000003000000}" name="ext_svc"/>
    <tableColumn id="4" xr3:uid="{00000000-0010-0000-0100-000004000000}" name="deal_size"/>
    <tableColumn id="5" xr3:uid="{00000000-0010-0000-0100-000005000000}" name="net_access"/>
    <tableColumn id="8" xr3:uid="{00000000-0010-0000-0100-000008000000}" name="start_date"/>
    <tableColumn id="7" xr3:uid="{00000000-0010-0000-0100-000007000000}" name="impl_team"/>
    <tableColumn id="6" xr3:uid="{00000000-0010-0000-0100-000006000000}" name="prior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fScore" displayName="RefScore" ref="K2:M42" totalsRowShown="0">
  <autoFilter ref="K2:M42" xr:uid="{00000000-0009-0000-0100-000003000000}"/>
  <tableColumns count="3">
    <tableColumn id="1" xr3:uid="{00000000-0010-0000-0200-000001000000}" name="category"/>
    <tableColumn id="2" xr3:uid="{00000000-0010-0000-0200-000002000000}" name="value"/>
    <tableColumn id="3" xr3:uid="{00000000-0010-0000-0200-000003000000}" name="score"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38D01D-784B-C64B-8FE8-D84F391F3BBC}" name="tbl_NaC_Readiness6" displayName="tbl_NaC_Readiness6" ref="A1:F146">
  <autoFilter ref="A1:F146" xr:uid="{5B38D01D-784B-C64B-8FE8-D84F391F3BBC}"/>
  <tableColumns count="6">
    <tableColumn id="22" xr3:uid="{3C8CD721-2F20-564E-A626-F7324BBEEDD1}" name="Project ID Alignment"/>
    <tableColumn id="1" xr3:uid="{974C9BC8-D352-E740-AD40-64DB26422272}" name="Customer Name"/>
    <tableColumn id="2" xr3:uid="{515F6B99-A9A1-C141-8DD6-55BA354B1C89}" name="Priority"/>
    <tableColumn id="3" xr3:uid="{0CFCBCAA-6E9C-B04E-9B63-D30233EBC415}" name="Customer Segment"/>
    <tableColumn id="4" xr3:uid="{B887F773-B652-7A47-97A4-1686FFE698A6}" name="Targeted Use Case(s)"/>
    <tableColumn id="23" xr3:uid="{74392405-7FC5-3C45-8646-7EA8E52202F8}" name="Flagged in SD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6"/>
  <sheetViews>
    <sheetView tabSelected="1" zoomScale="130" zoomScaleNormal="130" workbookViewId="0">
      <pane xSplit="4" topLeftCell="E1" activePane="topRight" state="frozen"/>
      <selection activeCell="A2" sqref="A2"/>
      <selection pane="topRight" activeCell="E6" sqref="E6"/>
    </sheetView>
  </sheetViews>
  <sheetFormatPr baseColWidth="10" defaultColWidth="11.5" defaultRowHeight="15" customHeight="1"/>
  <cols>
    <col min="1" max="1" width="22.33203125" style="11" customWidth="1"/>
    <col min="2" max="2" width="15.1640625" style="7" customWidth="1"/>
    <col min="3" max="3" width="18.5" customWidth="1"/>
    <col min="4" max="4" width="14" customWidth="1"/>
    <col min="5" max="5" width="16.5" customWidth="1"/>
    <col min="6" max="6" width="20.6640625" customWidth="1"/>
    <col min="7" max="7" width="15.1640625" customWidth="1"/>
    <col min="8" max="8" width="11.6640625" customWidth="1"/>
    <col min="9" max="9" width="17.5" customWidth="1"/>
    <col min="10" max="10" width="10.6640625" style="5" customWidth="1"/>
    <col min="11" max="16" width="31.33203125" customWidth="1"/>
    <col min="17" max="17" width="31.33203125" style="14" customWidth="1"/>
    <col min="18" max="18" width="52.6640625" customWidth="1"/>
    <col min="19" max="19" width="52.6640625" style="11" customWidth="1"/>
    <col min="20" max="20" width="28.83203125" customWidth="1"/>
    <col min="21" max="21" width="20.1640625" customWidth="1"/>
  </cols>
  <sheetData>
    <row r="1" spans="1:21" s="1" customFormat="1" ht="48" customHeight="1">
      <c r="A1" s="2" t="s">
        <v>0</v>
      </c>
      <c r="B1" s="2" t="s">
        <v>1</v>
      </c>
      <c r="C1" s="2" t="s">
        <v>2</v>
      </c>
      <c r="D1" s="2" t="s">
        <v>3</v>
      </c>
      <c r="E1" s="2" t="s">
        <v>4</v>
      </c>
      <c r="F1" s="2" t="s">
        <v>5</v>
      </c>
      <c r="G1" s="2" t="s">
        <v>6</v>
      </c>
      <c r="H1" s="2" t="s">
        <v>7</v>
      </c>
      <c r="I1" s="2" t="s">
        <v>8</v>
      </c>
      <c r="J1" s="4" t="s">
        <v>9</v>
      </c>
      <c r="K1" s="2" t="s">
        <v>10</v>
      </c>
      <c r="L1" s="2" t="s">
        <v>11</v>
      </c>
      <c r="M1" s="2" t="s">
        <v>12</v>
      </c>
      <c r="N1" s="2" t="s">
        <v>13</v>
      </c>
      <c r="O1" s="2" t="s">
        <v>14</v>
      </c>
      <c r="P1" s="2" t="s">
        <v>15</v>
      </c>
      <c r="Q1" s="13" t="s">
        <v>16</v>
      </c>
      <c r="R1" s="2" t="s">
        <v>17</v>
      </c>
      <c r="S1" s="2" t="s">
        <v>18</v>
      </c>
      <c r="T1" s="2" t="s">
        <v>19</v>
      </c>
      <c r="U1" s="2" t="s">
        <v>20</v>
      </c>
    </row>
    <row r="2" spans="1:21" ht="16" customHeight="1">
      <c r="A2" s="6" t="s">
        <v>21</v>
      </c>
      <c r="B2" s="7" t="s">
        <v>22</v>
      </c>
      <c r="C2" t="s">
        <v>23</v>
      </c>
      <c r="D2" t="s">
        <v>24</v>
      </c>
      <c r="G2" t="s">
        <v>25</v>
      </c>
      <c r="J2" s="5" t="str">
        <f t="array" ref="J2">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N2" s="16" t="s">
        <v>26</v>
      </c>
      <c r="O2" t="s">
        <v>25</v>
      </c>
      <c r="P2" t="s">
        <v>27</v>
      </c>
      <c r="Q2" s="14">
        <v>0</v>
      </c>
    </row>
    <row r="3" spans="1:21" ht="16" customHeight="1">
      <c r="A3" s="6" t="s">
        <v>28</v>
      </c>
      <c r="B3" s="7" t="s">
        <v>22</v>
      </c>
      <c r="C3" t="s">
        <v>29</v>
      </c>
      <c r="D3" t="s">
        <v>24</v>
      </c>
      <c r="G3" t="s">
        <v>25</v>
      </c>
      <c r="J3" s="5" t="str">
        <f t="array" ref="J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N3" s="16" t="s">
        <v>30</v>
      </c>
      <c r="O3" t="s">
        <v>25</v>
      </c>
      <c r="P3" t="s">
        <v>31</v>
      </c>
      <c r="Q3" s="14">
        <v>0</v>
      </c>
    </row>
    <row r="4" spans="1:21" ht="16" customHeight="1">
      <c r="A4" s="6" t="s">
        <v>32</v>
      </c>
      <c r="B4" s="7" t="s">
        <v>22</v>
      </c>
      <c r="C4" t="s">
        <v>23</v>
      </c>
      <c r="D4" t="s">
        <v>33</v>
      </c>
      <c r="G4" t="s">
        <v>34</v>
      </c>
      <c r="J4" s="5" t="str">
        <f t="array" ref="J4">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N4" s="16" t="s">
        <v>35</v>
      </c>
      <c r="O4" t="s">
        <v>34</v>
      </c>
      <c r="P4" t="s">
        <v>36</v>
      </c>
      <c r="Q4" s="14">
        <v>1</v>
      </c>
    </row>
    <row r="5" spans="1:21" ht="16" customHeight="1">
      <c r="A5" s="6" t="s">
        <v>37</v>
      </c>
      <c r="B5" s="7" t="s">
        <v>22</v>
      </c>
      <c r="C5" t="s">
        <v>38</v>
      </c>
      <c r="D5" t="s">
        <v>24</v>
      </c>
      <c r="G5" t="s">
        <v>25</v>
      </c>
      <c r="J5" s="5" t="str">
        <f t="array" ref="J5">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N5" s="16" t="s">
        <v>39</v>
      </c>
      <c r="O5" t="s">
        <v>25</v>
      </c>
      <c r="P5" t="s">
        <v>27</v>
      </c>
      <c r="Q5" s="14">
        <v>0</v>
      </c>
    </row>
    <row r="6" spans="1:21" ht="16" customHeight="1">
      <c r="A6" s="6" t="s">
        <v>40</v>
      </c>
      <c r="B6" s="7" t="s">
        <v>22</v>
      </c>
      <c r="C6" t="s">
        <v>29</v>
      </c>
      <c r="D6" t="s">
        <v>33</v>
      </c>
      <c r="G6" t="s">
        <v>25</v>
      </c>
      <c r="J6" s="5" t="str">
        <f t="array" ref="J6">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N6" s="16" t="s">
        <v>41</v>
      </c>
      <c r="O6" t="s">
        <v>25</v>
      </c>
      <c r="P6" t="s">
        <v>42</v>
      </c>
      <c r="Q6" s="14">
        <v>0</v>
      </c>
    </row>
    <row r="7" spans="1:21" ht="16" customHeight="1">
      <c r="A7" s="6" t="s">
        <v>43</v>
      </c>
      <c r="B7" s="7" t="s">
        <v>22</v>
      </c>
      <c r="C7" t="s">
        <v>23</v>
      </c>
      <c r="D7" t="s">
        <v>33</v>
      </c>
      <c r="G7" t="s">
        <v>25</v>
      </c>
      <c r="J7" s="5" t="str">
        <f t="array" ref="J7">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N7" s="16" t="s">
        <v>26</v>
      </c>
      <c r="O7" t="s">
        <v>25</v>
      </c>
      <c r="P7" t="s">
        <v>27</v>
      </c>
      <c r="Q7" s="17">
        <v>0</v>
      </c>
    </row>
    <row r="8" spans="1:21" ht="16" customHeight="1">
      <c r="A8" s="6" t="s">
        <v>43</v>
      </c>
      <c r="B8" s="7" t="s">
        <v>22</v>
      </c>
      <c r="C8" t="s">
        <v>23</v>
      </c>
      <c r="D8" t="s">
        <v>24</v>
      </c>
      <c r="G8" t="s">
        <v>25</v>
      </c>
      <c r="J8" s="5" t="str">
        <f t="array" ref="J8">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N8" s="16" t="s">
        <v>26</v>
      </c>
      <c r="O8" t="s">
        <v>25</v>
      </c>
      <c r="P8" t="s">
        <v>27</v>
      </c>
      <c r="Q8" s="17">
        <v>0</v>
      </c>
    </row>
    <row r="9" spans="1:21" ht="16" customHeight="1">
      <c r="A9" t="s">
        <v>155</v>
      </c>
      <c r="B9" s="7" t="s">
        <v>22</v>
      </c>
      <c r="C9" t="s">
        <v>53</v>
      </c>
      <c r="J9" s="5" t="str">
        <f t="array" ref="J9">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0" spans="1:21" ht="16" customHeight="1">
      <c r="A10" s="6" t="s">
        <v>44</v>
      </c>
      <c r="B10" s="7" t="s">
        <v>22</v>
      </c>
      <c r="C10" t="s">
        <v>23</v>
      </c>
      <c r="D10" t="s">
        <v>33</v>
      </c>
      <c r="E10" t="s">
        <v>45</v>
      </c>
      <c r="F10" t="s">
        <v>46</v>
      </c>
      <c r="G10" t="s">
        <v>34</v>
      </c>
      <c r="H10" t="s">
        <v>47</v>
      </c>
      <c r="I10" t="s">
        <v>48</v>
      </c>
      <c r="J10" s="5" t="str">
        <f t="array" ref="J10">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10" t="s">
        <v>49</v>
      </c>
      <c r="O10" t="s">
        <v>25</v>
      </c>
      <c r="P10" t="s">
        <v>50</v>
      </c>
    </row>
    <row r="11" spans="1:21" ht="16" customHeight="1">
      <c r="A11" t="s">
        <v>51</v>
      </c>
      <c r="B11" s="7" t="s">
        <v>52</v>
      </c>
      <c r="C11" t="s">
        <v>53</v>
      </c>
      <c r="D11" t="s">
        <v>33</v>
      </c>
      <c r="E11" t="s">
        <v>54</v>
      </c>
      <c r="F11" t="s">
        <v>55</v>
      </c>
      <c r="G11" t="s">
        <v>34</v>
      </c>
      <c r="H11" t="s">
        <v>56</v>
      </c>
      <c r="I11" t="s">
        <v>48</v>
      </c>
      <c r="J11" s="5" t="str">
        <f t="array" ref="J11">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11" t="s">
        <v>57</v>
      </c>
      <c r="O11" t="s">
        <v>25</v>
      </c>
      <c r="P11" t="s">
        <v>50</v>
      </c>
    </row>
    <row r="12" spans="1:21" ht="16" customHeight="1">
      <c r="A12" t="s">
        <v>231</v>
      </c>
      <c r="D12" t="s">
        <v>24</v>
      </c>
      <c r="N12" t="s">
        <v>232</v>
      </c>
      <c r="O12" t="s">
        <v>25</v>
      </c>
      <c r="P12" t="s">
        <v>233</v>
      </c>
    </row>
    <row r="13" spans="1:21" ht="16" customHeight="1">
      <c r="A13" t="s">
        <v>242</v>
      </c>
      <c r="B13" s="7" t="s">
        <v>22</v>
      </c>
      <c r="C13" t="s">
        <v>38</v>
      </c>
      <c r="D13" t="s">
        <v>24</v>
      </c>
      <c r="N13" t="s">
        <v>91</v>
      </c>
      <c r="O13" t="s">
        <v>25</v>
      </c>
      <c r="P13" t="s">
        <v>92</v>
      </c>
      <c r="Q13" s="17">
        <v>0</v>
      </c>
    </row>
    <row r="14" spans="1:21" ht="51" customHeight="1">
      <c r="A14" t="s">
        <v>260</v>
      </c>
      <c r="C14" t="s">
        <v>53</v>
      </c>
      <c r="D14" t="s">
        <v>24</v>
      </c>
      <c r="N14" t="s">
        <v>256</v>
      </c>
      <c r="O14" t="s">
        <v>25</v>
      </c>
      <c r="P14" t="s">
        <v>261</v>
      </c>
    </row>
    <row r="15" spans="1:21" ht="16" customHeight="1">
      <c r="A15" t="s">
        <v>258</v>
      </c>
      <c r="C15" t="s">
        <v>29</v>
      </c>
      <c r="D15" t="s">
        <v>24</v>
      </c>
      <c r="N15" t="s">
        <v>259</v>
      </c>
      <c r="O15" t="s">
        <v>25</v>
      </c>
      <c r="P15" t="s">
        <v>257</v>
      </c>
    </row>
    <row r="16" spans="1:21" ht="16" customHeight="1">
      <c r="A16" s="11" t="s">
        <v>246</v>
      </c>
      <c r="B16" s="7" t="s">
        <v>22</v>
      </c>
      <c r="D16" t="s">
        <v>33</v>
      </c>
      <c r="N16" t="s">
        <v>247</v>
      </c>
      <c r="O16" t="s">
        <v>34</v>
      </c>
      <c r="P16" t="s">
        <v>248</v>
      </c>
      <c r="Q16" s="17">
        <v>1</v>
      </c>
    </row>
    <row r="17" spans="1:19" ht="16" customHeight="1">
      <c r="A17" t="s">
        <v>221</v>
      </c>
      <c r="B17" s="7" t="s">
        <v>22</v>
      </c>
      <c r="C17" t="s">
        <v>38</v>
      </c>
      <c r="D17" t="s">
        <v>24</v>
      </c>
      <c r="N17" t="s">
        <v>222</v>
      </c>
      <c r="O17" t="s">
        <v>25</v>
      </c>
      <c r="P17" t="s">
        <v>27</v>
      </c>
      <c r="Q17" s="17">
        <v>0</v>
      </c>
    </row>
    <row r="18" spans="1:19" ht="16" customHeight="1">
      <c r="A18" t="s">
        <v>153</v>
      </c>
      <c r="B18" s="7" t="s">
        <v>22</v>
      </c>
      <c r="C18" t="s">
        <v>38</v>
      </c>
      <c r="J18" s="5" t="str">
        <f t="array" ref="J18">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R18" s="11" t="s">
        <v>154</v>
      </c>
    </row>
    <row r="19" spans="1:19" ht="16" customHeight="1">
      <c r="A19" s="11" t="s">
        <v>179</v>
      </c>
      <c r="B19" s="7" t="s">
        <v>22</v>
      </c>
      <c r="C19" t="s">
        <v>38</v>
      </c>
      <c r="D19" t="s">
        <v>33</v>
      </c>
      <c r="N19" t="s">
        <v>180</v>
      </c>
      <c r="O19" t="s">
        <v>34</v>
      </c>
      <c r="P19" t="s">
        <v>181</v>
      </c>
      <c r="Q19" s="17">
        <v>1</v>
      </c>
    </row>
    <row r="20" spans="1:19" ht="16" customHeight="1">
      <c r="A20" s="11" t="s">
        <v>253</v>
      </c>
      <c r="B20" s="7" t="s">
        <v>22</v>
      </c>
      <c r="D20" t="s">
        <v>33</v>
      </c>
      <c r="N20" t="s">
        <v>251</v>
      </c>
      <c r="O20" t="s">
        <v>34</v>
      </c>
      <c r="P20" t="s">
        <v>254</v>
      </c>
      <c r="Q20" s="17">
        <v>1</v>
      </c>
    </row>
    <row r="21" spans="1:19" ht="16" customHeight="1">
      <c r="A21" t="s">
        <v>262</v>
      </c>
      <c r="C21" t="s">
        <v>29</v>
      </c>
      <c r="D21" t="s">
        <v>24</v>
      </c>
      <c r="N21" t="s">
        <v>259</v>
      </c>
      <c r="O21" t="s">
        <v>25</v>
      </c>
      <c r="P21" t="s">
        <v>257</v>
      </c>
    </row>
    <row r="22" spans="1:19" ht="16" customHeight="1">
      <c r="A22" t="s">
        <v>208</v>
      </c>
      <c r="D22" t="s">
        <v>24</v>
      </c>
      <c r="N22" t="s">
        <v>207</v>
      </c>
      <c r="O22" t="s">
        <v>25</v>
      </c>
      <c r="P22" t="s">
        <v>27</v>
      </c>
      <c r="Q22" s="17">
        <v>0</v>
      </c>
    </row>
    <row r="23" spans="1:19" ht="16" customHeight="1">
      <c r="A23" t="s">
        <v>58</v>
      </c>
      <c r="B23" s="7" t="s">
        <v>59</v>
      </c>
      <c r="C23" t="s">
        <v>38</v>
      </c>
      <c r="D23" t="s">
        <v>33</v>
      </c>
      <c r="E23" t="s">
        <v>22</v>
      </c>
      <c r="F23" t="s">
        <v>46</v>
      </c>
      <c r="G23" t="s">
        <v>25</v>
      </c>
      <c r="H23" t="s">
        <v>60</v>
      </c>
      <c r="I23" t="s">
        <v>61</v>
      </c>
      <c r="J23" s="5" t="str">
        <f t="array" ref="J2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23" t="s">
        <v>25</v>
      </c>
      <c r="P23" t="s">
        <v>50</v>
      </c>
    </row>
    <row r="24" spans="1:19" ht="16" customHeight="1">
      <c r="A24" t="s">
        <v>58</v>
      </c>
      <c r="B24" s="7" t="s">
        <v>59</v>
      </c>
      <c r="C24" t="s">
        <v>38</v>
      </c>
      <c r="D24" t="s">
        <v>24</v>
      </c>
      <c r="E24" t="s">
        <v>22</v>
      </c>
      <c r="F24" t="s">
        <v>46</v>
      </c>
      <c r="G24" t="s">
        <v>25</v>
      </c>
      <c r="H24" t="s">
        <v>60</v>
      </c>
      <c r="I24" t="s">
        <v>61</v>
      </c>
      <c r="J24" s="5" t="str">
        <f t="array" ref="J24">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24" t="s">
        <v>25</v>
      </c>
      <c r="P24" t="s">
        <v>50</v>
      </c>
    </row>
    <row r="25" spans="1:19" ht="16" customHeight="1">
      <c r="A25" t="s">
        <v>58</v>
      </c>
      <c r="B25" s="7" t="s">
        <v>59</v>
      </c>
      <c r="C25" t="s">
        <v>38</v>
      </c>
      <c r="D25" t="s">
        <v>62</v>
      </c>
      <c r="E25" t="s">
        <v>22</v>
      </c>
      <c r="F25" t="s">
        <v>46</v>
      </c>
      <c r="G25" t="s">
        <v>25</v>
      </c>
      <c r="H25" t="s">
        <v>60</v>
      </c>
      <c r="I25" t="s">
        <v>61</v>
      </c>
      <c r="J25" s="5" t="str">
        <f t="array" ref="J25">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26" spans="1:19" ht="16" customHeight="1">
      <c r="A26" t="s">
        <v>255</v>
      </c>
      <c r="C26" t="s">
        <v>29</v>
      </c>
      <c r="D26" t="s">
        <v>24</v>
      </c>
      <c r="N26" t="s">
        <v>256</v>
      </c>
      <c r="O26" t="s">
        <v>25</v>
      </c>
      <c r="P26" t="s">
        <v>257</v>
      </c>
    </row>
    <row r="27" spans="1:19" ht="16" customHeight="1">
      <c r="A27" s="12" t="s">
        <v>156</v>
      </c>
      <c r="C27" s="12" t="s">
        <v>29</v>
      </c>
      <c r="D27" s="12" t="s">
        <v>62</v>
      </c>
      <c r="J27" s="5" t="str">
        <f t="array" ref="J27">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S27" s="11" t="s">
        <v>157</v>
      </c>
    </row>
    <row r="28" spans="1:19" ht="16" customHeight="1">
      <c r="A28" s="12" t="s">
        <v>156</v>
      </c>
      <c r="B28" s="7" t="s">
        <v>22</v>
      </c>
      <c r="C28" s="12" t="s">
        <v>29</v>
      </c>
      <c r="D28" s="12" t="s">
        <v>33</v>
      </c>
      <c r="J28" s="5" t="str">
        <f t="array" ref="J28">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N28" t="s">
        <v>158</v>
      </c>
      <c r="O28" t="s">
        <v>34</v>
      </c>
      <c r="P28" t="s">
        <v>159</v>
      </c>
      <c r="Q28" s="17">
        <v>1</v>
      </c>
      <c r="S28" s="11" t="s">
        <v>160</v>
      </c>
    </row>
    <row r="29" spans="1:19" ht="16" customHeight="1">
      <c r="A29" t="s">
        <v>63</v>
      </c>
      <c r="B29" s="7" t="s">
        <v>52</v>
      </c>
      <c r="C29" t="s">
        <v>29</v>
      </c>
      <c r="D29" t="s">
        <v>33</v>
      </c>
      <c r="E29" t="s">
        <v>54</v>
      </c>
      <c r="F29" t="s">
        <v>46</v>
      </c>
      <c r="G29" t="s">
        <v>34</v>
      </c>
      <c r="H29" t="s">
        <v>60</v>
      </c>
      <c r="I29" t="s">
        <v>64</v>
      </c>
      <c r="J29" s="5" t="str">
        <f t="array" ref="J29">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29" t="s">
        <v>65</v>
      </c>
      <c r="L29" t="s">
        <v>66</v>
      </c>
      <c r="M29" t="s">
        <v>67</v>
      </c>
      <c r="N29" t="s">
        <v>68</v>
      </c>
      <c r="O29" t="s">
        <v>34</v>
      </c>
      <c r="P29" t="s">
        <v>69</v>
      </c>
      <c r="Q29" s="17">
        <v>1</v>
      </c>
      <c r="S29" s="11" t="s">
        <v>70</v>
      </c>
    </row>
    <row r="30" spans="1:19" ht="16" customHeight="1">
      <c r="A30" s="11" t="s">
        <v>188</v>
      </c>
      <c r="B30" s="7" t="s">
        <v>22</v>
      </c>
      <c r="D30" t="s">
        <v>33</v>
      </c>
      <c r="N30" t="s">
        <v>189</v>
      </c>
      <c r="O30" t="s">
        <v>34</v>
      </c>
      <c r="P30" t="s">
        <v>190</v>
      </c>
      <c r="Q30" s="17">
        <v>1</v>
      </c>
    </row>
    <row r="31" spans="1:19" ht="16" customHeight="1">
      <c r="A31" t="s">
        <v>71</v>
      </c>
      <c r="B31" s="7" t="s">
        <v>52</v>
      </c>
      <c r="C31" t="s">
        <v>53</v>
      </c>
      <c r="D31" t="s">
        <v>33</v>
      </c>
      <c r="E31" t="s">
        <v>54</v>
      </c>
      <c r="F31" t="s">
        <v>55</v>
      </c>
      <c r="G31" t="s">
        <v>34</v>
      </c>
      <c r="H31" t="s">
        <v>56</v>
      </c>
      <c r="I31" t="s">
        <v>72</v>
      </c>
      <c r="J31" s="5" t="str">
        <f t="array" ref="J31">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31" s="8" t="s">
        <v>73</v>
      </c>
      <c r="L31" s="8"/>
      <c r="M31" s="8"/>
      <c r="N31" s="8"/>
      <c r="O31" s="8" t="s">
        <v>25</v>
      </c>
      <c r="P31" s="8" t="s">
        <v>50</v>
      </c>
      <c r="Q31" s="15"/>
    </row>
    <row r="32" spans="1:19" ht="16" customHeight="1">
      <c r="A32" t="s">
        <v>71</v>
      </c>
      <c r="B32" s="7" t="s">
        <v>52</v>
      </c>
      <c r="C32" t="s">
        <v>53</v>
      </c>
      <c r="D32" t="s">
        <v>74</v>
      </c>
      <c r="E32" t="s">
        <v>54</v>
      </c>
      <c r="F32" t="s">
        <v>55</v>
      </c>
      <c r="G32" t="s">
        <v>34</v>
      </c>
      <c r="H32" t="s">
        <v>56</v>
      </c>
      <c r="I32" t="s">
        <v>72</v>
      </c>
      <c r="J32" s="5" t="str">
        <f t="array" ref="J32">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32" s="9" t="s">
        <v>75</v>
      </c>
    </row>
    <row r="33" spans="1:19" ht="16" customHeight="1">
      <c r="A33" t="s">
        <v>76</v>
      </c>
      <c r="B33" s="7" t="s">
        <v>52</v>
      </c>
      <c r="C33" t="s">
        <v>53</v>
      </c>
      <c r="D33" t="s">
        <v>24</v>
      </c>
      <c r="E33" t="s">
        <v>45</v>
      </c>
      <c r="F33" t="s">
        <v>55</v>
      </c>
      <c r="G33" t="s">
        <v>34</v>
      </c>
      <c r="H33" t="s">
        <v>56</v>
      </c>
      <c r="I33" t="s">
        <v>64</v>
      </c>
      <c r="J33" s="5" t="str">
        <f t="array" ref="J3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33" t="s">
        <v>77</v>
      </c>
      <c r="O33" t="s">
        <v>25</v>
      </c>
      <c r="P33" t="s">
        <v>50</v>
      </c>
    </row>
    <row r="34" spans="1:19" ht="16" customHeight="1">
      <c r="A34" t="s">
        <v>78</v>
      </c>
      <c r="B34" s="7" t="s">
        <v>52</v>
      </c>
      <c r="C34" t="s">
        <v>38</v>
      </c>
      <c r="D34" t="s">
        <v>24</v>
      </c>
      <c r="E34" t="s">
        <v>45</v>
      </c>
      <c r="F34" t="s">
        <v>79</v>
      </c>
      <c r="G34" t="s">
        <v>34</v>
      </c>
      <c r="H34" t="s">
        <v>56</v>
      </c>
      <c r="I34" t="s">
        <v>64</v>
      </c>
      <c r="J34" s="5" t="str">
        <f t="array" ref="J34">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34" t="s">
        <v>80</v>
      </c>
      <c r="L34" t="s">
        <v>81</v>
      </c>
      <c r="O34" t="s">
        <v>25</v>
      </c>
      <c r="P34" t="s">
        <v>50</v>
      </c>
    </row>
    <row r="35" spans="1:19" ht="16" customHeight="1">
      <c r="A35" s="11" t="s">
        <v>186</v>
      </c>
      <c r="B35" s="7" t="s">
        <v>22</v>
      </c>
      <c r="C35" t="s">
        <v>38</v>
      </c>
      <c r="D35" t="s">
        <v>33</v>
      </c>
      <c r="N35" t="s">
        <v>180</v>
      </c>
      <c r="O35" t="s">
        <v>34</v>
      </c>
      <c r="P35" t="s">
        <v>187</v>
      </c>
      <c r="Q35" s="17">
        <v>1</v>
      </c>
    </row>
    <row r="36" spans="1:19" ht="16" customHeight="1">
      <c r="A36" t="s">
        <v>82</v>
      </c>
      <c r="B36" s="7" t="s">
        <v>52</v>
      </c>
      <c r="C36" t="s">
        <v>38</v>
      </c>
      <c r="D36" t="s">
        <v>83</v>
      </c>
      <c r="E36" t="s">
        <v>54</v>
      </c>
      <c r="F36" t="s">
        <v>46</v>
      </c>
      <c r="G36" t="s">
        <v>25</v>
      </c>
      <c r="H36" t="s">
        <v>60</v>
      </c>
      <c r="I36" t="s">
        <v>61</v>
      </c>
      <c r="J36" s="5" t="str">
        <f t="array" ref="J36">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36" t="s">
        <v>84</v>
      </c>
    </row>
    <row r="37" spans="1:19" ht="16" customHeight="1">
      <c r="A37" t="s">
        <v>82</v>
      </c>
      <c r="B37" s="7" t="s">
        <v>52</v>
      </c>
      <c r="C37" t="s">
        <v>38</v>
      </c>
      <c r="D37" t="s">
        <v>33</v>
      </c>
      <c r="E37" t="s">
        <v>54</v>
      </c>
      <c r="F37" t="s">
        <v>46</v>
      </c>
      <c r="G37" t="s">
        <v>25</v>
      </c>
      <c r="H37" t="s">
        <v>60</v>
      </c>
      <c r="I37" t="s">
        <v>61</v>
      </c>
      <c r="J37" s="5" t="str">
        <f t="array" ref="J37">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37" t="s">
        <v>85</v>
      </c>
      <c r="L37" t="s">
        <v>84</v>
      </c>
      <c r="O37" t="s">
        <v>25</v>
      </c>
      <c r="P37" t="s">
        <v>50</v>
      </c>
    </row>
    <row r="38" spans="1:19" ht="16" customHeight="1">
      <c r="A38" s="11" t="s">
        <v>227</v>
      </c>
      <c r="B38" s="7" t="s">
        <v>22</v>
      </c>
      <c r="D38" t="s">
        <v>33</v>
      </c>
      <c r="N38" t="s">
        <v>228</v>
      </c>
      <c r="O38" t="s">
        <v>34</v>
      </c>
      <c r="P38" t="s">
        <v>229</v>
      </c>
      <c r="Q38" s="17">
        <v>1</v>
      </c>
    </row>
    <row r="39" spans="1:19" ht="16" customHeight="1">
      <c r="A39" t="s">
        <v>227</v>
      </c>
      <c r="D39" t="s">
        <v>24</v>
      </c>
      <c r="N39" t="s">
        <v>228</v>
      </c>
      <c r="O39" t="s">
        <v>25</v>
      </c>
      <c r="P39" t="s">
        <v>230</v>
      </c>
      <c r="Q39" s="17">
        <v>0</v>
      </c>
    </row>
    <row r="40" spans="1:19" ht="16" customHeight="1">
      <c r="A40" t="s">
        <v>170</v>
      </c>
      <c r="C40" t="s">
        <v>29</v>
      </c>
      <c r="D40" t="s">
        <v>33</v>
      </c>
      <c r="J40" s="5" t="str">
        <f t="array" ref="J40">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40" t="s">
        <v>25</v>
      </c>
      <c r="P40" t="s">
        <v>50</v>
      </c>
      <c r="S40" s="11" t="s">
        <v>171</v>
      </c>
    </row>
    <row r="41" spans="1:19" ht="16" customHeight="1">
      <c r="A41" t="s">
        <v>225</v>
      </c>
      <c r="D41" t="s">
        <v>33</v>
      </c>
      <c r="N41" t="s">
        <v>226</v>
      </c>
      <c r="O41" t="s">
        <v>25</v>
      </c>
      <c r="P41" t="s">
        <v>92</v>
      </c>
      <c r="Q41" s="17">
        <v>0</v>
      </c>
    </row>
    <row r="42" spans="1:19" ht="16" customHeight="1">
      <c r="A42" t="s">
        <v>86</v>
      </c>
      <c r="B42" s="7" t="s">
        <v>59</v>
      </c>
      <c r="C42" t="s">
        <v>38</v>
      </c>
      <c r="D42" t="s">
        <v>74</v>
      </c>
      <c r="E42" t="s">
        <v>87</v>
      </c>
      <c r="F42" t="s">
        <v>46</v>
      </c>
      <c r="G42" t="s">
        <v>25</v>
      </c>
      <c r="H42" t="s">
        <v>56</v>
      </c>
      <c r="I42" t="s">
        <v>61</v>
      </c>
      <c r="J42" s="5" t="str">
        <f t="array" ref="J42">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43" spans="1:19" ht="16" customHeight="1">
      <c r="A43" t="s">
        <v>86</v>
      </c>
      <c r="B43" s="7" t="s">
        <v>59</v>
      </c>
      <c r="C43" t="s">
        <v>38</v>
      </c>
      <c r="D43" t="s">
        <v>62</v>
      </c>
      <c r="E43" t="s">
        <v>87</v>
      </c>
      <c r="F43" t="s">
        <v>46</v>
      </c>
      <c r="G43" t="s">
        <v>25</v>
      </c>
      <c r="H43" t="s">
        <v>56</v>
      </c>
      <c r="I43" t="s">
        <v>61</v>
      </c>
      <c r="J43" s="5" t="str">
        <f t="array" ref="J4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44" spans="1:19" ht="16" customHeight="1">
      <c r="A44" t="s">
        <v>86</v>
      </c>
      <c r="B44" s="7" t="s">
        <v>59</v>
      </c>
      <c r="C44" t="s">
        <v>38</v>
      </c>
      <c r="D44" t="s">
        <v>88</v>
      </c>
      <c r="E44" t="s">
        <v>87</v>
      </c>
      <c r="F44" t="s">
        <v>46</v>
      </c>
      <c r="G44" t="s">
        <v>25</v>
      </c>
      <c r="H44" t="s">
        <v>56</v>
      </c>
      <c r="I44" t="s">
        <v>61</v>
      </c>
      <c r="J44" s="5" t="str">
        <f t="array" ref="J44">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45" spans="1:19" ht="16" customHeight="1">
      <c r="A45" t="s">
        <v>86</v>
      </c>
      <c r="B45" s="7" t="s">
        <v>59</v>
      </c>
      <c r="C45" t="s">
        <v>38</v>
      </c>
      <c r="D45" t="s">
        <v>83</v>
      </c>
      <c r="E45" t="s">
        <v>87</v>
      </c>
      <c r="F45" t="s">
        <v>46</v>
      </c>
      <c r="G45" t="s">
        <v>25</v>
      </c>
      <c r="H45" t="s">
        <v>56</v>
      </c>
      <c r="I45" t="s">
        <v>61</v>
      </c>
      <c r="J45" s="5" t="str">
        <f t="array" ref="J45">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46" spans="1:19" ht="16" customHeight="1">
      <c r="A46" t="s">
        <v>86</v>
      </c>
      <c r="B46" s="7" t="s">
        <v>59</v>
      </c>
      <c r="C46" t="s">
        <v>38</v>
      </c>
      <c r="D46" t="s">
        <v>33</v>
      </c>
      <c r="E46" t="s">
        <v>87</v>
      </c>
      <c r="F46" t="s">
        <v>46</v>
      </c>
      <c r="G46" t="s">
        <v>25</v>
      </c>
      <c r="H46" t="s">
        <v>56</v>
      </c>
      <c r="I46" t="s">
        <v>61</v>
      </c>
      <c r="J46" s="5" t="str">
        <f t="array" ref="J46">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46" t="s">
        <v>89</v>
      </c>
      <c r="O46" t="s">
        <v>25</v>
      </c>
      <c r="P46" t="s">
        <v>50</v>
      </c>
    </row>
    <row r="47" spans="1:19" ht="16" customHeight="1">
      <c r="A47" t="s">
        <v>90</v>
      </c>
      <c r="B47" s="7" t="s">
        <v>59</v>
      </c>
      <c r="C47" t="s">
        <v>38</v>
      </c>
      <c r="D47" t="s">
        <v>24</v>
      </c>
      <c r="E47" t="s">
        <v>45</v>
      </c>
      <c r="F47" t="s">
        <v>79</v>
      </c>
      <c r="G47" t="s">
        <v>34</v>
      </c>
      <c r="H47" t="s">
        <v>47</v>
      </c>
      <c r="I47" t="s">
        <v>64</v>
      </c>
      <c r="J47" s="5" t="str">
        <f t="array" ref="J47">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N47" t="s">
        <v>91</v>
      </c>
      <c r="O47" t="s">
        <v>25</v>
      </c>
      <c r="P47" t="s">
        <v>92</v>
      </c>
      <c r="Q47" s="17">
        <v>0</v>
      </c>
    </row>
    <row r="48" spans="1:19" ht="16" customHeight="1">
      <c r="A48" s="11" t="s">
        <v>182</v>
      </c>
      <c r="B48" s="7" t="s">
        <v>22</v>
      </c>
      <c r="C48" t="s">
        <v>38</v>
      </c>
      <c r="D48" t="s">
        <v>33</v>
      </c>
      <c r="N48" t="s">
        <v>180</v>
      </c>
      <c r="O48" t="s">
        <v>34</v>
      </c>
      <c r="P48" t="s">
        <v>183</v>
      </c>
      <c r="Q48" s="17">
        <v>1</v>
      </c>
    </row>
    <row r="49" spans="1:17" ht="16" customHeight="1">
      <c r="A49" t="s">
        <v>93</v>
      </c>
      <c r="B49" s="7" t="s">
        <v>59</v>
      </c>
      <c r="C49" t="s">
        <v>38</v>
      </c>
      <c r="D49" t="s">
        <v>62</v>
      </c>
      <c r="E49" t="s">
        <v>54</v>
      </c>
      <c r="F49" t="s">
        <v>79</v>
      </c>
      <c r="G49" t="s">
        <v>34</v>
      </c>
      <c r="H49" t="s">
        <v>56</v>
      </c>
      <c r="I49" t="s">
        <v>64</v>
      </c>
      <c r="J49" s="5" t="str">
        <f t="array" ref="J49">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49" t="s">
        <v>94</v>
      </c>
    </row>
    <row r="50" spans="1:17" ht="16" customHeight="1">
      <c r="A50" t="s">
        <v>93</v>
      </c>
      <c r="B50" s="7" t="s">
        <v>52</v>
      </c>
      <c r="C50" t="s">
        <v>38</v>
      </c>
      <c r="D50" t="s">
        <v>33</v>
      </c>
      <c r="E50" t="s">
        <v>54</v>
      </c>
      <c r="F50" t="s">
        <v>79</v>
      </c>
      <c r="G50" t="s">
        <v>34</v>
      </c>
      <c r="H50" t="s">
        <v>56</v>
      </c>
      <c r="I50" t="s">
        <v>64</v>
      </c>
      <c r="J50" s="5" t="str">
        <f t="array" ref="J50">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50" t="s">
        <v>95</v>
      </c>
      <c r="L50" t="s">
        <v>94</v>
      </c>
      <c r="O50" t="s">
        <v>25</v>
      </c>
      <c r="P50" t="s">
        <v>50</v>
      </c>
    </row>
    <row r="51" spans="1:17" ht="16" customHeight="1">
      <c r="A51" t="s">
        <v>93</v>
      </c>
      <c r="B51" s="7" t="s">
        <v>52</v>
      </c>
      <c r="C51" t="s">
        <v>38</v>
      </c>
      <c r="D51" t="s">
        <v>83</v>
      </c>
      <c r="E51" t="s">
        <v>54</v>
      </c>
      <c r="F51" t="s">
        <v>79</v>
      </c>
      <c r="G51" t="s">
        <v>34</v>
      </c>
      <c r="H51" t="s">
        <v>56</v>
      </c>
      <c r="I51" t="s">
        <v>64</v>
      </c>
      <c r="J51" s="5" t="str">
        <f t="array" ref="J51">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51" t="s">
        <v>96</v>
      </c>
      <c r="L51" t="s">
        <v>94</v>
      </c>
    </row>
    <row r="52" spans="1:17" ht="16" customHeight="1">
      <c r="A52" t="s">
        <v>97</v>
      </c>
      <c r="B52" s="7" t="s">
        <v>59</v>
      </c>
      <c r="C52" t="s">
        <v>53</v>
      </c>
      <c r="D52" t="s">
        <v>24</v>
      </c>
      <c r="E52" t="s">
        <v>54</v>
      </c>
      <c r="F52" t="s">
        <v>46</v>
      </c>
      <c r="G52" t="s">
        <v>34</v>
      </c>
      <c r="H52" t="s">
        <v>60</v>
      </c>
      <c r="I52" t="s">
        <v>61</v>
      </c>
      <c r="J52" s="5" t="str">
        <f t="array" ref="J52">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52" t="s">
        <v>98</v>
      </c>
      <c r="O52" t="s">
        <v>25</v>
      </c>
      <c r="P52" t="s">
        <v>50</v>
      </c>
    </row>
    <row r="53" spans="1:17" ht="16" customHeight="1">
      <c r="A53" t="s">
        <v>97</v>
      </c>
      <c r="D53" t="s">
        <v>33</v>
      </c>
      <c r="N53" t="s">
        <v>244</v>
      </c>
      <c r="O53" t="s">
        <v>25</v>
      </c>
      <c r="P53" t="s">
        <v>245</v>
      </c>
    </row>
    <row r="54" spans="1:17" ht="16" customHeight="1">
      <c r="A54" t="s">
        <v>218</v>
      </c>
      <c r="D54" t="s">
        <v>24</v>
      </c>
      <c r="N54" t="s">
        <v>219</v>
      </c>
      <c r="O54" t="s">
        <v>25</v>
      </c>
      <c r="P54" t="s">
        <v>92</v>
      </c>
      <c r="Q54" s="17">
        <v>0</v>
      </c>
    </row>
    <row r="55" spans="1:17" ht="16" customHeight="1">
      <c r="A55" s="11" t="s">
        <v>234</v>
      </c>
      <c r="B55" s="7" t="s">
        <v>22</v>
      </c>
      <c r="D55" t="s">
        <v>24</v>
      </c>
      <c r="N55" t="s">
        <v>235</v>
      </c>
      <c r="O55" t="s">
        <v>34</v>
      </c>
      <c r="P55" t="s">
        <v>236</v>
      </c>
      <c r="Q55" s="17">
        <v>1</v>
      </c>
    </row>
    <row r="56" spans="1:17" ht="16" customHeight="1">
      <c r="A56" t="s">
        <v>234</v>
      </c>
      <c r="C56" t="s">
        <v>29</v>
      </c>
      <c r="D56" t="s">
        <v>33</v>
      </c>
      <c r="N56" t="s">
        <v>41</v>
      </c>
      <c r="O56" t="s">
        <v>25</v>
      </c>
      <c r="P56" t="s">
        <v>42</v>
      </c>
    </row>
    <row r="57" spans="1:17" ht="16" customHeight="1">
      <c r="A57" s="11" t="s">
        <v>172</v>
      </c>
      <c r="B57" s="7" t="s">
        <v>22</v>
      </c>
      <c r="D57" t="s">
        <v>33</v>
      </c>
      <c r="N57" t="s">
        <v>173</v>
      </c>
      <c r="O57" t="s">
        <v>34</v>
      </c>
      <c r="P57" t="s">
        <v>174</v>
      </c>
      <c r="Q57" s="17">
        <v>1</v>
      </c>
    </row>
    <row r="58" spans="1:17" ht="16" customHeight="1">
      <c r="A58" t="s">
        <v>99</v>
      </c>
      <c r="B58" s="7" t="s">
        <v>59</v>
      </c>
      <c r="C58" t="s">
        <v>38</v>
      </c>
      <c r="D58" t="s">
        <v>33</v>
      </c>
      <c r="E58" t="s">
        <v>54</v>
      </c>
      <c r="F58" t="s">
        <v>46</v>
      </c>
      <c r="G58" t="s">
        <v>25</v>
      </c>
      <c r="H58" t="s">
        <v>56</v>
      </c>
      <c r="I58" t="s">
        <v>64</v>
      </c>
      <c r="J58" s="5" t="str">
        <f t="array" ref="J58">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58" t="s">
        <v>84</v>
      </c>
      <c r="O58" t="s">
        <v>25</v>
      </c>
      <c r="P58" t="s">
        <v>50</v>
      </c>
    </row>
    <row r="59" spans="1:17" ht="16" customHeight="1">
      <c r="A59" t="s">
        <v>99</v>
      </c>
      <c r="B59" s="7" t="s">
        <v>59</v>
      </c>
      <c r="C59" t="s">
        <v>38</v>
      </c>
      <c r="D59" t="s">
        <v>24</v>
      </c>
      <c r="E59" t="s">
        <v>54</v>
      </c>
      <c r="F59" t="s">
        <v>46</v>
      </c>
      <c r="G59" t="s">
        <v>25</v>
      </c>
      <c r="H59" t="s">
        <v>56</v>
      </c>
      <c r="I59" t="s">
        <v>64</v>
      </c>
      <c r="J59" s="5" t="str">
        <f t="array" ref="J59">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59" t="s">
        <v>84</v>
      </c>
      <c r="O59" t="s">
        <v>25</v>
      </c>
      <c r="P59" t="s">
        <v>50</v>
      </c>
    </row>
    <row r="60" spans="1:17" ht="16" customHeight="1">
      <c r="A60" t="s">
        <v>99</v>
      </c>
      <c r="B60" s="7" t="s">
        <v>59</v>
      </c>
      <c r="C60" t="s">
        <v>38</v>
      </c>
      <c r="D60" t="s">
        <v>88</v>
      </c>
      <c r="E60" t="s">
        <v>54</v>
      </c>
      <c r="F60" t="s">
        <v>46</v>
      </c>
      <c r="G60" t="s">
        <v>25</v>
      </c>
      <c r="H60" t="s">
        <v>56</v>
      </c>
      <c r="I60" t="s">
        <v>64</v>
      </c>
      <c r="J60" s="5" t="str">
        <f t="array" ref="J60">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60" t="s">
        <v>84</v>
      </c>
    </row>
    <row r="61" spans="1:17" ht="16" customHeight="1">
      <c r="A61" s="11" t="s">
        <v>263</v>
      </c>
      <c r="B61" s="7" t="s">
        <v>22</v>
      </c>
      <c r="C61" t="s">
        <v>53</v>
      </c>
      <c r="D61" t="s">
        <v>24</v>
      </c>
      <c r="N61" t="s">
        <v>264</v>
      </c>
      <c r="O61" t="s">
        <v>34</v>
      </c>
      <c r="P61" t="s">
        <v>265</v>
      </c>
      <c r="Q61" s="17">
        <v>1</v>
      </c>
    </row>
    <row r="62" spans="1:17" ht="16" customHeight="1">
      <c r="A62" s="11" t="s">
        <v>237</v>
      </c>
      <c r="B62" s="7" t="s">
        <v>22</v>
      </c>
      <c r="D62" t="s">
        <v>33</v>
      </c>
      <c r="N62" t="s">
        <v>35</v>
      </c>
      <c r="O62" t="s">
        <v>34</v>
      </c>
      <c r="P62" t="s">
        <v>238</v>
      </c>
      <c r="Q62" s="17">
        <v>1</v>
      </c>
    </row>
    <row r="63" spans="1:17" ht="16" customHeight="1">
      <c r="A63" t="s">
        <v>144</v>
      </c>
      <c r="C63" t="s">
        <v>23</v>
      </c>
      <c r="J63" s="5" t="str">
        <f t="array" ref="J6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64" spans="1:17" ht="16" customHeight="1">
      <c r="A64" s="11" t="s">
        <v>191</v>
      </c>
      <c r="B64" s="7" t="s">
        <v>22</v>
      </c>
      <c r="C64" t="s">
        <v>38</v>
      </c>
      <c r="D64" t="s">
        <v>33</v>
      </c>
      <c r="N64" t="s">
        <v>192</v>
      </c>
      <c r="O64" t="s">
        <v>34</v>
      </c>
      <c r="P64" t="s">
        <v>193</v>
      </c>
      <c r="Q64" s="17">
        <v>1</v>
      </c>
    </row>
    <row r="65" spans="1:17" ht="16" customHeight="1">
      <c r="A65" t="s">
        <v>148</v>
      </c>
      <c r="B65" s="7" t="s">
        <v>22</v>
      </c>
      <c r="C65" t="s">
        <v>53</v>
      </c>
      <c r="D65" t="s">
        <v>33</v>
      </c>
      <c r="J65" s="5" t="str">
        <f t="array" ref="J65">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65" t="s">
        <v>25</v>
      </c>
      <c r="P65" t="s">
        <v>50</v>
      </c>
    </row>
    <row r="66" spans="1:17" ht="16" customHeight="1">
      <c r="A66" t="s">
        <v>148</v>
      </c>
      <c r="B66" s="7" t="s">
        <v>22</v>
      </c>
      <c r="C66" t="s">
        <v>53</v>
      </c>
      <c r="D66" t="s">
        <v>24</v>
      </c>
      <c r="J66" s="5" t="str">
        <f t="array" ref="J66">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66" t="s">
        <v>25</v>
      </c>
      <c r="P66" t="s">
        <v>50</v>
      </c>
    </row>
    <row r="67" spans="1:17" ht="16" customHeight="1">
      <c r="A67" t="s">
        <v>148</v>
      </c>
      <c r="B67" s="7" t="s">
        <v>22</v>
      </c>
      <c r="C67" t="s">
        <v>53</v>
      </c>
      <c r="D67" t="s">
        <v>62</v>
      </c>
      <c r="J67" s="5" t="str">
        <f t="array" ref="J67">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68" spans="1:17" ht="16" customHeight="1">
      <c r="A68" t="s">
        <v>148</v>
      </c>
      <c r="B68" s="7" t="s">
        <v>22</v>
      </c>
      <c r="C68" t="s">
        <v>53</v>
      </c>
      <c r="D68" t="s">
        <v>83</v>
      </c>
      <c r="J68" s="5" t="str">
        <f t="array" ref="J68">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69" spans="1:17" ht="16" customHeight="1">
      <c r="A69" t="s">
        <v>148</v>
      </c>
      <c r="B69" s="7" t="s">
        <v>22</v>
      </c>
      <c r="C69" t="s">
        <v>53</v>
      </c>
      <c r="D69" t="s">
        <v>105</v>
      </c>
      <c r="J69" s="5" t="str">
        <f t="array" ref="J69">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70" spans="1:17" ht="34" customHeight="1">
      <c r="A70" t="s">
        <v>148</v>
      </c>
      <c r="B70" s="7" t="s">
        <v>22</v>
      </c>
      <c r="C70" t="s">
        <v>53</v>
      </c>
      <c r="D70" t="s">
        <v>149</v>
      </c>
      <c r="J70" s="5" t="str">
        <f t="array" ref="J70">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71" spans="1:17" ht="16" customHeight="1">
      <c r="A71" t="s">
        <v>148</v>
      </c>
      <c r="B71" s="7" t="s">
        <v>22</v>
      </c>
      <c r="C71" t="s">
        <v>53</v>
      </c>
      <c r="D71" t="s">
        <v>150</v>
      </c>
      <c r="J71" s="5" t="str">
        <f t="array" ref="J71">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72" spans="1:17" ht="16" customHeight="1">
      <c r="A72" t="s">
        <v>148</v>
      </c>
      <c r="B72" s="7" t="s">
        <v>22</v>
      </c>
      <c r="C72" t="s">
        <v>53</v>
      </c>
      <c r="D72" t="s">
        <v>88</v>
      </c>
      <c r="J72" s="5" t="str">
        <f t="array" ref="J72">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73" spans="1:17" ht="16" customHeight="1">
      <c r="A73" t="s">
        <v>148</v>
      </c>
      <c r="B73" s="7" t="s">
        <v>22</v>
      </c>
      <c r="C73" t="s">
        <v>53</v>
      </c>
      <c r="D73" t="s">
        <v>122</v>
      </c>
      <c r="J73" s="5" t="str">
        <f t="array" ref="J7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74" spans="1:17" ht="16" customHeight="1">
      <c r="A74" t="s">
        <v>148</v>
      </c>
      <c r="B74" s="7" t="s">
        <v>22</v>
      </c>
      <c r="C74" t="s">
        <v>53</v>
      </c>
      <c r="D74" t="s">
        <v>74</v>
      </c>
      <c r="J74" s="5" t="str">
        <f t="array" ref="J74">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75" spans="1:17" ht="16" customHeight="1">
      <c r="A75" t="s">
        <v>249</v>
      </c>
      <c r="D75" t="s">
        <v>33</v>
      </c>
      <c r="N75" t="s">
        <v>68</v>
      </c>
      <c r="O75" t="s">
        <v>25</v>
      </c>
      <c r="P75" t="s">
        <v>127</v>
      </c>
    </row>
    <row r="76" spans="1:17" ht="16" customHeight="1">
      <c r="A76" t="s">
        <v>204</v>
      </c>
      <c r="D76" t="s">
        <v>33</v>
      </c>
      <c r="N76" t="s">
        <v>205</v>
      </c>
      <c r="O76" t="s">
        <v>25</v>
      </c>
      <c r="P76" t="s">
        <v>27</v>
      </c>
      <c r="Q76" s="17">
        <v>0</v>
      </c>
    </row>
    <row r="77" spans="1:17" ht="16" customHeight="1">
      <c r="A77" s="11" t="s">
        <v>194</v>
      </c>
      <c r="B77" s="7" t="s">
        <v>22</v>
      </c>
      <c r="D77" t="s">
        <v>33</v>
      </c>
      <c r="N77" t="s">
        <v>192</v>
      </c>
      <c r="O77" t="s">
        <v>34</v>
      </c>
      <c r="P77" t="s">
        <v>195</v>
      </c>
      <c r="Q77" s="17">
        <v>1</v>
      </c>
    </row>
    <row r="78" spans="1:17" ht="16" customHeight="1">
      <c r="A78" t="s">
        <v>206</v>
      </c>
      <c r="D78" t="s">
        <v>24</v>
      </c>
      <c r="N78" t="s">
        <v>207</v>
      </c>
      <c r="O78" t="s">
        <v>25</v>
      </c>
      <c r="P78" t="s">
        <v>27</v>
      </c>
      <c r="Q78" s="17">
        <v>0</v>
      </c>
    </row>
    <row r="79" spans="1:17" ht="16" customHeight="1">
      <c r="A79" t="s">
        <v>100</v>
      </c>
      <c r="B79" s="7" t="s">
        <v>52</v>
      </c>
      <c r="C79" t="s">
        <v>38</v>
      </c>
      <c r="D79" t="s">
        <v>62</v>
      </c>
      <c r="E79" t="s">
        <v>72</v>
      </c>
      <c r="F79" t="s">
        <v>79</v>
      </c>
      <c r="G79" t="s">
        <v>34</v>
      </c>
      <c r="H79" t="s">
        <v>56</v>
      </c>
      <c r="I79" t="s">
        <v>72</v>
      </c>
      <c r="J79" s="5" t="str">
        <f t="array" ref="J79">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79" t="s">
        <v>94</v>
      </c>
    </row>
    <row r="80" spans="1:17" ht="16" customHeight="1">
      <c r="A80" s="10" t="s">
        <v>101</v>
      </c>
      <c r="B80" s="7" t="s">
        <v>52</v>
      </c>
      <c r="C80" t="s">
        <v>23</v>
      </c>
      <c r="D80" t="s">
        <v>33</v>
      </c>
      <c r="E80" t="s">
        <v>45</v>
      </c>
      <c r="F80" t="s">
        <v>46</v>
      </c>
      <c r="G80" t="s">
        <v>34</v>
      </c>
      <c r="H80" t="s">
        <v>56</v>
      </c>
      <c r="I80" t="s">
        <v>102</v>
      </c>
      <c r="J80" s="5" t="str">
        <f t="array" ref="J80">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80" t="s">
        <v>103</v>
      </c>
      <c r="O80" t="s">
        <v>25</v>
      </c>
      <c r="P80" t="s">
        <v>50</v>
      </c>
    </row>
    <row r="81" spans="1:19" ht="16" customHeight="1">
      <c r="A81" s="10" t="s">
        <v>101</v>
      </c>
      <c r="B81" s="7" t="s">
        <v>52</v>
      </c>
      <c r="C81" t="s">
        <v>23</v>
      </c>
      <c r="D81" t="s">
        <v>24</v>
      </c>
      <c r="E81" t="s">
        <v>45</v>
      </c>
      <c r="F81" t="s">
        <v>46</v>
      </c>
      <c r="G81" t="s">
        <v>34</v>
      </c>
      <c r="H81" t="s">
        <v>56</v>
      </c>
      <c r="I81" t="s">
        <v>102</v>
      </c>
      <c r="J81" s="5" t="str">
        <f t="array" ref="J81">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81" t="s">
        <v>104</v>
      </c>
      <c r="O81" t="s">
        <v>25</v>
      </c>
      <c r="P81" t="s">
        <v>50</v>
      </c>
    </row>
    <row r="82" spans="1:19" ht="16" customHeight="1">
      <c r="A82" s="10" t="s">
        <v>101</v>
      </c>
      <c r="B82" s="7" t="s">
        <v>52</v>
      </c>
      <c r="C82" t="s">
        <v>23</v>
      </c>
      <c r="D82" t="s">
        <v>105</v>
      </c>
      <c r="E82" t="s">
        <v>45</v>
      </c>
      <c r="F82" t="s">
        <v>46</v>
      </c>
      <c r="G82" t="s">
        <v>34</v>
      </c>
      <c r="H82" t="s">
        <v>56</v>
      </c>
      <c r="I82" t="s">
        <v>102</v>
      </c>
      <c r="J82" s="5" t="str">
        <f t="array" ref="J82">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82" t="s">
        <v>106</v>
      </c>
    </row>
    <row r="83" spans="1:19" ht="16" customHeight="1">
      <c r="A83" s="11" t="s">
        <v>250</v>
      </c>
      <c r="B83" s="7" t="s">
        <v>22</v>
      </c>
      <c r="C83" t="s">
        <v>38</v>
      </c>
      <c r="D83" t="s">
        <v>33</v>
      </c>
      <c r="N83" t="s">
        <v>251</v>
      </c>
      <c r="O83" t="s">
        <v>34</v>
      </c>
      <c r="P83" t="s">
        <v>252</v>
      </c>
      <c r="Q83" s="17">
        <v>1</v>
      </c>
    </row>
    <row r="84" spans="1:19" ht="56" customHeight="1">
      <c r="A84" s="11" t="s">
        <v>196</v>
      </c>
      <c r="B84" s="7" t="s">
        <v>22</v>
      </c>
      <c r="D84" t="s">
        <v>33</v>
      </c>
      <c r="N84" t="s">
        <v>192</v>
      </c>
      <c r="O84" t="s">
        <v>34</v>
      </c>
      <c r="P84" t="s">
        <v>197</v>
      </c>
      <c r="Q84" s="17">
        <v>1</v>
      </c>
    </row>
    <row r="85" spans="1:19" ht="54" customHeight="1">
      <c r="A85" t="s">
        <v>107</v>
      </c>
      <c r="B85" s="7" t="s">
        <v>52</v>
      </c>
      <c r="C85" t="s">
        <v>38</v>
      </c>
      <c r="D85" t="s">
        <v>24</v>
      </c>
      <c r="E85" t="s">
        <v>54</v>
      </c>
      <c r="F85" t="s">
        <v>46</v>
      </c>
      <c r="G85" t="s">
        <v>25</v>
      </c>
      <c r="H85" t="s">
        <v>56</v>
      </c>
      <c r="I85" t="s">
        <v>61</v>
      </c>
      <c r="J85" s="5" t="str">
        <f t="array" ref="J85">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85" t="s">
        <v>108</v>
      </c>
      <c r="L85" t="s">
        <v>109</v>
      </c>
      <c r="O85" t="s">
        <v>25</v>
      </c>
      <c r="P85" t="s">
        <v>50</v>
      </c>
    </row>
    <row r="86" spans="1:19" ht="16" customHeight="1">
      <c r="A86" t="s">
        <v>107</v>
      </c>
      <c r="B86" s="7" t="s">
        <v>59</v>
      </c>
      <c r="C86" t="s">
        <v>38</v>
      </c>
      <c r="D86" t="s">
        <v>88</v>
      </c>
      <c r="E86" t="s">
        <v>54</v>
      </c>
      <c r="F86" t="s">
        <v>46</v>
      </c>
      <c r="G86" t="s">
        <v>25</v>
      </c>
      <c r="H86" t="s">
        <v>60</v>
      </c>
      <c r="I86" t="s">
        <v>61</v>
      </c>
      <c r="J86" s="5" t="str">
        <f t="array" ref="J86">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86" t="s">
        <v>109</v>
      </c>
    </row>
    <row r="87" spans="1:19" ht="34" customHeight="1">
      <c r="A87" t="s">
        <v>110</v>
      </c>
      <c r="B87" s="7" t="s">
        <v>59</v>
      </c>
      <c r="C87" t="s">
        <v>38</v>
      </c>
      <c r="D87" t="s">
        <v>33</v>
      </c>
      <c r="E87" t="s">
        <v>45</v>
      </c>
      <c r="F87" t="s">
        <v>79</v>
      </c>
      <c r="G87" t="s">
        <v>34</v>
      </c>
      <c r="H87" t="s">
        <v>60</v>
      </c>
      <c r="I87" t="s">
        <v>64</v>
      </c>
      <c r="J87" s="5" t="str">
        <f t="array" ref="J87">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87" t="s">
        <v>25</v>
      </c>
      <c r="P87" t="s">
        <v>50</v>
      </c>
    </row>
    <row r="88" spans="1:19" ht="34" customHeight="1">
      <c r="A88" s="6" t="s">
        <v>110</v>
      </c>
      <c r="B88" s="7" t="s">
        <v>59</v>
      </c>
      <c r="C88" t="s">
        <v>38</v>
      </c>
      <c r="D88" t="s">
        <v>24</v>
      </c>
      <c r="E88" t="s">
        <v>45</v>
      </c>
      <c r="F88" t="s">
        <v>46</v>
      </c>
      <c r="G88" t="s">
        <v>34</v>
      </c>
      <c r="H88" t="s">
        <v>47</v>
      </c>
      <c r="I88" t="s">
        <v>64</v>
      </c>
      <c r="J88" s="5" t="str">
        <f t="array" ref="J88">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88" t="s">
        <v>25</v>
      </c>
      <c r="P88" t="s">
        <v>50</v>
      </c>
    </row>
    <row r="89" spans="1:19" ht="34" customHeight="1">
      <c r="A89" s="6" t="s">
        <v>111</v>
      </c>
      <c r="B89" s="7" t="s">
        <v>22</v>
      </c>
      <c r="C89" t="s">
        <v>38</v>
      </c>
      <c r="D89" t="s">
        <v>33</v>
      </c>
      <c r="E89" t="s">
        <v>54</v>
      </c>
      <c r="F89" t="s">
        <v>55</v>
      </c>
      <c r="G89" t="s">
        <v>34</v>
      </c>
      <c r="H89" t="s">
        <v>56</v>
      </c>
      <c r="I89" t="s">
        <v>48</v>
      </c>
      <c r="J89" s="5" t="str">
        <f t="array" ref="J89">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89" t="s">
        <v>112</v>
      </c>
      <c r="L89" t="s">
        <v>113</v>
      </c>
      <c r="O89" t="s">
        <v>25</v>
      </c>
      <c r="P89" t="s">
        <v>50</v>
      </c>
    </row>
    <row r="90" spans="1:19" ht="34" customHeight="1">
      <c r="A90" s="6" t="s">
        <v>111</v>
      </c>
      <c r="B90" s="7" t="s">
        <v>22</v>
      </c>
      <c r="C90" t="s">
        <v>38</v>
      </c>
      <c r="D90" t="s">
        <v>24</v>
      </c>
      <c r="E90" t="s">
        <v>54</v>
      </c>
      <c r="F90" t="s">
        <v>55</v>
      </c>
      <c r="G90" t="s">
        <v>34</v>
      </c>
      <c r="H90" t="s">
        <v>56</v>
      </c>
      <c r="I90" t="s">
        <v>48</v>
      </c>
      <c r="J90" s="5" t="str">
        <f t="array" ref="J90">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90" t="s">
        <v>114</v>
      </c>
      <c r="L90" t="s">
        <v>115</v>
      </c>
      <c r="N90" t="s">
        <v>116</v>
      </c>
      <c r="O90" t="s">
        <v>34</v>
      </c>
      <c r="P90" t="s">
        <v>117</v>
      </c>
      <c r="Q90" s="14">
        <v>0.58699999999999997</v>
      </c>
    </row>
    <row r="91" spans="1:19" ht="34" customHeight="1">
      <c r="A91" s="6" t="s">
        <v>111</v>
      </c>
      <c r="B91" s="7" t="s">
        <v>22</v>
      </c>
      <c r="C91" t="s">
        <v>38</v>
      </c>
      <c r="D91" t="s">
        <v>83</v>
      </c>
      <c r="E91" t="s">
        <v>54</v>
      </c>
      <c r="F91" t="s">
        <v>55</v>
      </c>
      <c r="G91" t="s">
        <v>34</v>
      </c>
      <c r="H91" t="s">
        <v>60</v>
      </c>
      <c r="I91" t="s">
        <v>64</v>
      </c>
      <c r="J91" s="5" t="str">
        <f t="array" ref="J91">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91" t="s">
        <v>115</v>
      </c>
    </row>
    <row r="92" spans="1:19" ht="34" customHeight="1">
      <c r="A92" s="11" t="s">
        <v>273</v>
      </c>
      <c r="B92" s="7" t="s">
        <v>22</v>
      </c>
      <c r="C92" t="s">
        <v>53</v>
      </c>
      <c r="D92" t="s">
        <v>24</v>
      </c>
      <c r="N92" t="s">
        <v>271</v>
      </c>
      <c r="O92" t="s">
        <v>34</v>
      </c>
      <c r="P92" t="s">
        <v>274</v>
      </c>
      <c r="Q92" s="17">
        <v>0.61699999999999999</v>
      </c>
    </row>
    <row r="93" spans="1:19" ht="15" customHeight="1">
      <c r="A93" s="11" t="s">
        <v>177</v>
      </c>
      <c r="B93" s="7" t="s">
        <v>22</v>
      </c>
      <c r="C93" t="s">
        <v>38</v>
      </c>
      <c r="D93" t="s">
        <v>24</v>
      </c>
      <c r="N93" t="s">
        <v>116</v>
      </c>
      <c r="O93" t="s">
        <v>34</v>
      </c>
      <c r="P93" t="s">
        <v>178</v>
      </c>
      <c r="Q93" s="17">
        <v>1</v>
      </c>
    </row>
    <row r="94" spans="1:19" ht="30" customHeight="1">
      <c r="A94" s="11" t="s">
        <v>270</v>
      </c>
      <c r="B94" s="7" t="s">
        <v>22</v>
      </c>
      <c r="C94" t="s">
        <v>53</v>
      </c>
      <c r="D94" t="s">
        <v>24</v>
      </c>
      <c r="N94" t="s">
        <v>271</v>
      </c>
      <c r="O94" t="s">
        <v>34</v>
      </c>
      <c r="P94" t="s">
        <v>272</v>
      </c>
      <c r="Q94" s="17">
        <v>0.57999999999999996</v>
      </c>
    </row>
    <row r="95" spans="1:19" ht="31.5" customHeight="1">
      <c r="A95" t="s">
        <v>141</v>
      </c>
      <c r="B95" s="7" t="s">
        <v>52</v>
      </c>
      <c r="C95" t="s">
        <v>29</v>
      </c>
      <c r="D95" t="s">
        <v>88</v>
      </c>
      <c r="E95" t="s">
        <v>54</v>
      </c>
      <c r="F95" t="s">
        <v>55</v>
      </c>
      <c r="G95" t="s">
        <v>34</v>
      </c>
      <c r="H95" t="s">
        <v>56</v>
      </c>
      <c r="I95" t="s">
        <v>64</v>
      </c>
      <c r="J95" s="5" t="str">
        <f t="array" ref="J95">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R95" t="s">
        <v>142</v>
      </c>
      <c r="S95" s="11" t="s">
        <v>143</v>
      </c>
    </row>
    <row r="96" spans="1:19" ht="17">
      <c r="A96" s="11" t="s">
        <v>240</v>
      </c>
      <c r="B96" s="7" t="s">
        <v>22</v>
      </c>
      <c r="D96" t="s">
        <v>33</v>
      </c>
      <c r="N96" t="s">
        <v>35</v>
      </c>
      <c r="O96" t="s">
        <v>34</v>
      </c>
      <c r="P96" t="s">
        <v>241</v>
      </c>
      <c r="Q96" s="17">
        <v>1</v>
      </c>
    </row>
    <row r="97" spans="1:19" ht="17">
      <c r="A97" s="11" t="s">
        <v>175</v>
      </c>
      <c r="B97" s="7" t="s">
        <v>22</v>
      </c>
      <c r="D97" t="s">
        <v>24</v>
      </c>
      <c r="N97" t="s">
        <v>91</v>
      </c>
      <c r="O97" t="s">
        <v>34</v>
      </c>
      <c r="P97" t="s">
        <v>176</v>
      </c>
      <c r="Q97" s="17">
        <v>1</v>
      </c>
    </row>
    <row r="98" spans="1:19" ht="17">
      <c r="A98" t="s">
        <v>212</v>
      </c>
      <c r="D98" t="s">
        <v>24</v>
      </c>
      <c r="N98" t="s">
        <v>213</v>
      </c>
      <c r="O98" t="s">
        <v>25</v>
      </c>
      <c r="P98" t="s">
        <v>27</v>
      </c>
      <c r="Q98" s="17">
        <v>0</v>
      </c>
    </row>
    <row r="99" spans="1:19" ht="17">
      <c r="A99" t="s">
        <v>151</v>
      </c>
      <c r="B99" s="7" t="s">
        <v>22</v>
      </c>
      <c r="C99" t="s">
        <v>23</v>
      </c>
      <c r="J99" s="5" t="str">
        <f t="array" ref="J99">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R99" s="11" t="s">
        <v>152</v>
      </c>
    </row>
    <row r="100" spans="1:19" ht="17">
      <c r="A100" t="s">
        <v>210</v>
      </c>
      <c r="D100" t="s">
        <v>33</v>
      </c>
      <c r="N100" t="s">
        <v>211</v>
      </c>
      <c r="O100" t="s">
        <v>25</v>
      </c>
      <c r="P100" t="s">
        <v>27</v>
      </c>
      <c r="Q100" s="17">
        <v>0</v>
      </c>
    </row>
    <row r="101" spans="1:19" ht="17">
      <c r="A101" s="6" t="s">
        <v>118</v>
      </c>
      <c r="B101" s="7" t="s">
        <v>52</v>
      </c>
      <c r="C101" t="s">
        <v>38</v>
      </c>
      <c r="D101" t="s">
        <v>62</v>
      </c>
      <c r="E101" t="s">
        <v>54</v>
      </c>
      <c r="F101" t="s">
        <v>46</v>
      </c>
      <c r="G101" t="s">
        <v>34</v>
      </c>
      <c r="H101" t="s">
        <v>47</v>
      </c>
      <c r="I101" t="s">
        <v>64</v>
      </c>
      <c r="J101" s="5" t="str">
        <f t="array" ref="J101">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02" spans="1:19" ht="17">
      <c r="A102" s="6" t="s">
        <v>118</v>
      </c>
      <c r="B102" s="7" t="s">
        <v>52</v>
      </c>
      <c r="C102" t="s">
        <v>38</v>
      </c>
      <c r="D102" t="s">
        <v>33</v>
      </c>
      <c r="E102" t="s">
        <v>45</v>
      </c>
      <c r="F102" t="s">
        <v>79</v>
      </c>
      <c r="G102" t="s">
        <v>34</v>
      </c>
      <c r="H102" t="s">
        <v>60</v>
      </c>
      <c r="I102" t="s">
        <v>64</v>
      </c>
      <c r="J102" s="5" t="str">
        <f t="array" ref="J102">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102" t="s">
        <v>119</v>
      </c>
      <c r="O102" t="s">
        <v>25</v>
      </c>
      <c r="P102" t="s">
        <v>50</v>
      </c>
    </row>
    <row r="103" spans="1:19" ht="17">
      <c r="A103" t="s">
        <v>120</v>
      </c>
      <c r="B103" s="7" t="s">
        <v>52</v>
      </c>
      <c r="C103" t="s">
        <v>38</v>
      </c>
      <c r="D103" t="s">
        <v>24</v>
      </c>
      <c r="E103" t="s">
        <v>54</v>
      </c>
      <c r="F103" t="s">
        <v>79</v>
      </c>
      <c r="G103" t="s">
        <v>34</v>
      </c>
      <c r="H103" t="s">
        <v>47</v>
      </c>
      <c r="I103" t="s">
        <v>64</v>
      </c>
      <c r="J103" s="5" t="str">
        <f t="array" ref="J10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103" t="s">
        <v>121</v>
      </c>
      <c r="O103" t="s">
        <v>25</v>
      </c>
      <c r="P103" t="s">
        <v>50</v>
      </c>
    </row>
    <row r="104" spans="1:19" ht="17">
      <c r="A104" t="s">
        <v>120</v>
      </c>
      <c r="B104" s="7" t="s">
        <v>59</v>
      </c>
      <c r="C104" t="s">
        <v>38</v>
      </c>
      <c r="D104" t="s">
        <v>62</v>
      </c>
      <c r="E104" t="s">
        <v>54</v>
      </c>
      <c r="F104" t="s">
        <v>79</v>
      </c>
      <c r="G104" t="s">
        <v>34</v>
      </c>
      <c r="H104" t="s">
        <v>56</v>
      </c>
      <c r="I104" t="s">
        <v>64</v>
      </c>
      <c r="J104" s="5" t="str">
        <f t="array" ref="J104">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05" spans="1:19" ht="17">
      <c r="A105" t="s">
        <v>120</v>
      </c>
      <c r="B105" s="7" t="s">
        <v>59</v>
      </c>
      <c r="C105" t="s">
        <v>38</v>
      </c>
      <c r="D105" t="s">
        <v>33</v>
      </c>
      <c r="E105" t="s">
        <v>54</v>
      </c>
      <c r="F105" t="s">
        <v>79</v>
      </c>
      <c r="G105" t="s">
        <v>34</v>
      </c>
      <c r="H105" t="s">
        <v>56</v>
      </c>
      <c r="I105" t="s">
        <v>64</v>
      </c>
      <c r="J105" s="5" t="str">
        <f t="array" ref="J105">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105" t="s">
        <v>25</v>
      </c>
      <c r="P105" t="s">
        <v>50</v>
      </c>
    </row>
    <row r="106" spans="1:19" ht="17">
      <c r="A106" t="s">
        <v>120</v>
      </c>
      <c r="B106" s="7" t="s">
        <v>59</v>
      </c>
      <c r="C106" t="s">
        <v>38</v>
      </c>
      <c r="D106" t="s">
        <v>74</v>
      </c>
      <c r="E106" t="s">
        <v>54</v>
      </c>
      <c r="F106" t="s">
        <v>79</v>
      </c>
      <c r="G106" t="s">
        <v>34</v>
      </c>
      <c r="H106" t="s">
        <v>56</v>
      </c>
      <c r="I106" t="s">
        <v>64</v>
      </c>
      <c r="J106" s="5" t="str">
        <f t="array" ref="J106">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07" spans="1:19" ht="34">
      <c r="A107" t="s">
        <v>120</v>
      </c>
      <c r="B107" s="7" t="s">
        <v>59</v>
      </c>
      <c r="C107" t="s">
        <v>38</v>
      </c>
      <c r="D107" t="s">
        <v>88</v>
      </c>
      <c r="E107" t="s">
        <v>54</v>
      </c>
      <c r="F107" t="s">
        <v>79</v>
      </c>
      <c r="G107" t="s">
        <v>34</v>
      </c>
      <c r="H107" t="s">
        <v>56</v>
      </c>
      <c r="I107" t="s">
        <v>64</v>
      </c>
      <c r="J107" s="5" t="str">
        <f t="array" ref="J107">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08" spans="1:19" ht="34">
      <c r="A108" t="s">
        <v>120</v>
      </c>
      <c r="B108" s="7" t="s">
        <v>59</v>
      </c>
      <c r="C108" t="s">
        <v>38</v>
      </c>
      <c r="D108" t="s">
        <v>122</v>
      </c>
      <c r="E108" t="s">
        <v>54</v>
      </c>
      <c r="F108" t="s">
        <v>79</v>
      </c>
      <c r="G108" t="s">
        <v>34</v>
      </c>
      <c r="H108" t="s">
        <v>60</v>
      </c>
      <c r="I108" t="s">
        <v>64</v>
      </c>
      <c r="J108" s="5" t="str">
        <f t="array" ref="J108">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09" spans="1:19" ht="16">
      <c r="A109" t="s">
        <v>239</v>
      </c>
      <c r="B109" s="7" t="s">
        <v>22</v>
      </c>
      <c r="C109" t="s">
        <v>38</v>
      </c>
      <c r="D109" t="s">
        <v>24</v>
      </c>
      <c r="N109" t="s">
        <v>39</v>
      </c>
      <c r="O109" t="s">
        <v>25</v>
      </c>
      <c r="P109" t="s">
        <v>27</v>
      </c>
      <c r="Q109" s="17">
        <v>0</v>
      </c>
    </row>
    <row r="110" spans="1:19" ht="16">
      <c r="A110" t="s">
        <v>267</v>
      </c>
      <c r="C110" t="s">
        <v>29</v>
      </c>
      <c r="D110" t="s">
        <v>33</v>
      </c>
      <c r="N110" t="s">
        <v>268</v>
      </c>
      <c r="O110" t="s">
        <v>25</v>
      </c>
      <c r="P110" t="s">
        <v>269</v>
      </c>
    </row>
    <row r="111" spans="1:19" ht="16">
      <c r="A111" t="s">
        <v>166</v>
      </c>
      <c r="C111" t="s">
        <v>29</v>
      </c>
      <c r="J111" s="5" t="str">
        <f t="array" ref="J111">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S111" s="11" t="s">
        <v>167</v>
      </c>
    </row>
    <row r="112" spans="1:19" ht="16">
      <c r="A112" t="s">
        <v>123</v>
      </c>
      <c r="B112" s="7" t="s">
        <v>59</v>
      </c>
      <c r="C112" t="s">
        <v>38</v>
      </c>
      <c r="D112" t="s">
        <v>33</v>
      </c>
      <c r="E112" t="s">
        <v>54</v>
      </c>
      <c r="F112" t="s">
        <v>46</v>
      </c>
      <c r="G112" t="s">
        <v>25</v>
      </c>
      <c r="H112" t="s">
        <v>60</v>
      </c>
      <c r="I112" t="s">
        <v>61</v>
      </c>
      <c r="J112" s="5" t="str">
        <f t="array" ref="J112">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112" t="s">
        <v>124</v>
      </c>
      <c r="O112" t="s">
        <v>25</v>
      </c>
      <c r="P112" t="s">
        <v>50</v>
      </c>
    </row>
    <row r="113" spans="1:19" ht="16">
      <c r="A113" t="s">
        <v>123</v>
      </c>
      <c r="B113" s="7" t="s">
        <v>59</v>
      </c>
      <c r="C113" t="s">
        <v>38</v>
      </c>
      <c r="D113" t="s">
        <v>74</v>
      </c>
      <c r="E113" t="s">
        <v>54</v>
      </c>
      <c r="F113" t="s">
        <v>46</v>
      </c>
      <c r="G113" t="s">
        <v>25</v>
      </c>
      <c r="H113" t="s">
        <v>60</v>
      </c>
      <c r="I113" t="s">
        <v>61</v>
      </c>
      <c r="J113" s="5" t="str">
        <f t="array" ref="J11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14" spans="1:19" ht="16">
      <c r="A114" t="s">
        <v>123</v>
      </c>
      <c r="B114" s="7" t="s">
        <v>59</v>
      </c>
      <c r="C114" t="s">
        <v>38</v>
      </c>
      <c r="D114" t="s">
        <v>88</v>
      </c>
      <c r="E114" t="s">
        <v>54</v>
      </c>
      <c r="F114" t="s">
        <v>46</v>
      </c>
      <c r="G114" t="s">
        <v>25</v>
      </c>
      <c r="H114" t="s">
        <v>60</v>
      </c>
      <c r="I114" t="s">
        <v>61</v>
      </c>
      <c r="J114" s="5" t="str">
        <f t="array" ref="J114">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15" spans="1:19" ht="16">
      <c r="A115" t="s">
        <v>123</v>
      </c>
      <c r="B115" s="7" t="s">
        <v>59</v>
      </c>
      <c r="C115" t="s">
        <v>38</v>
      </c>
      <c r="D115" t="s">
        <v>62</v>
      </c>
      <c r="E115" t="s">
        <v>54</v>
      </c>
      <c r="F115" t="s">
        <v>46</v>
      </c>
      <c r="G115" t="s">
        <v>25</v>
      </c>
      <c r="H115" t="s">
        <v>60</v>
      </c>
      <c r="I115" t="s">
        <v>61</v>
      </c>
      <c r="J115" s="5" t="str">
        <f t="array" ref="J115">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16" spans="1:19" ht="16">
      <c r="A116" t="s">
        <v>125</v>
      </c>
      <c r="B116" s="7" t="s">
        <v>52</v>
      </c>
      <c r="C116" t="s">
        <v>38</v>
      </c>
      <c r="D116" t="s">
        <v>83</v>
      </c>
      <c r="E116" t="s">
        <v>54</v>
      </c>
      <c r="F116" t="s">
        <v>79</v>
      </c>
      <c r="G116" t="s">
        <v>34</v>
      </c>
      <c r="H116" t="s">
        <v>47</v>
      </c>
      <c r="I116" t="s">
        <v>64</v>
      </c>
      <c r="J116" s="5" t="str">
        <f t="array" ref="J116">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116" t="s">
        <v>109</v>
      </c>
    </row>
    <row r="117" spans="1:19" ht="16">
      <c r="A117" t="s">
        <v>125</v>
      </c>
      <c r="B117" s="7" t="s">
        <v>52</v>
      </c>
      <c r="C117" t="s">
        <v>38</v>
      </c>
      <c r="D117" t="s">
        <v>33</v>
      </c>
      <c r="E117" t="s">
        <v>54</v>
      </c>
      <c r="F117" t="s">
        <v>79</v>
      </c>
      <c r="G117" t="s">
        <v>34</v>
      </c>
      <c r="H117" t="s">
        <v>126</v>
      </c>
      <c r="I117" t="s">
        <v>64</v>
      </c>
      <c r="J117" s="5" t="str">
        <f t="array" ref="J117">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117" t="s">
        <v>109</v>
      </c>
      <c r="N117" t="s">
        <v>68</v>
      </c>
      <c r="O117" t="s">
        <v>25</v>
      </c>
      <c r="P117" t="s">
        <v>127</v>
      </c>
      <c r="Q117" s="17"/>
    </row>
    <row r="118" spans="1:19" ht="16">
      <c r="A118" t="s">
        <v>209</v>
      </c>
      <c r="D118" t="s">
        <v>24</v>
      </c>
      <c r="N118" t="s">
        <v>207</v>
      </c>
      <c r="O118" t="s">
        <v>25</v>
      </c>
      <c r="P118" t="s">
        <v>27</v>
      </c>
      <c r="Q118" s="17">
        <v>0</v>
      </c>
    </row>
    <row r="119" spans="1:19" ht="16">
      <c r="A119" s="12" t="s">
        <v>161</v>
      </c>
      <c r="C119" s="12" t="s">
        <v>29</v>
      </c>
      <c r="D119" s="12" t="s">
        <v>88</v>
      </c>
      <c r="J119" s="5" t="str">
        <f t="array" ref="J119">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S119" s="11" t="s">
        <v>162</v>
      </c>
    </row>
    <row r="120" spans="1:19" ht="16">
      <c r="A120" s="12" t="s">
        <v>161</v>
      </c>
      <c r="C120" s="12" t="s">
        <v>29</v>
      </c>
      <c r="D120" s="12" t="s">
        <v>149</v>
      </c>
      <c r="J120" s="5" t="str">
        <f t="array" ref="J120">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S120" s="11" t="s">
        <v>163</v>
      </c>
    </row>
    <row r="121" spans="1:19" ht="16">
      <c r="A121" s="12" t="s">
        <v>161</v>
      </c>
      <c r="C121" s="12" t="s">
        <v>29</v>
      </c>
      <c r="D121" s="12" t="s">
        <v>150</v>
      </c>
      <c r="J121" s="5" t="str">
        <f t="array" ref="J121">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S121" s="11" t="s">
        <v>163</v>
      </c>
    </row>
    <row r="122" spans="1:19" ht="16">
      <c r="A122" t="s">
        <v>128</v>
      </c>
      <c r="B122" s="7" t="s">
        <v>52</v>
      </c>
      <c r="C122" t="s">
        <v>23</v>
      </c>
      <c r="D122" t="s">
        <v>33</v>
      </c>
      <c r="E122" t="s">
        <v>45</v>
      </c>
      <c r="F122" t="s">
        <v>46</v>
      </c>
      <c r="G122" t="s">
        <v>34</v>
      </c>
      <c r="H122" t="s">
        <v>47</v>
      </c>
      <c r="I122" t="s">
        <v>64</v>
      </c>
      <c r="J122" s="5" t="str">
        <f t="array" ref="J122">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122" t="s">
        <v>129</v>
      </c>
      <c r="O122" t="s">
        <v>25</v>
      </c>
      <c r="P122" t="s">
        <v>50</v>
      </c>
    </row>
    <row r="123" spans="1:19" ht="17">
      <c r="A123" t="s">
        <v>128</v>
      </c>
      <c r="B123" s="7" t="s">
        <v>52</v>
      </c>
      <c r="C123" t="s">
        <v>23</v>
      </c>
      <c r="D123" t="s">
        <v>24</v>
      </c>
      <c r="E123" t="s">
        <v>45</v>
      </c>
      <c r="F123" t="s">
        <v>46</v>
      </c>
      <c r="G123" t="s">
        <v>34</v>
      </c>
      <c r="H123" t="s">
        <v>47</v>
      </c>
      <c r="I123" t="s">
        <v>64</v>
      </c>
      <c r="J123" s="5" t="str">
        <f t="array" ref="J12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123" t="s">
        <v>130</v>
      </c>
      <c r="O123" t="s">
        <v>25</v>
      </c>
      <c r="P123" t="s">
        <v>50</v>
      </c>
    </row>
    <row r="124" spans="1:19" ht="16">
      <c r="A124" s="12" t="s">
        <v>164</v>
      </c>
      <c r="C124" s="12" t="s">
        <v>29</v>
      </c>
      <c r="D124" s="12" t="s">
        <v>150</v>
      </c>
      <c r="J124" s="5" t="str">
        <f t="array" ref="J124">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S124" s="11" t="s">
        <v>165</v>
      </c>
    </row>
    <row r="125" spans="1:19" ht="16">
      <c r="A125" t="s">
        <v>131</v>
      </c>
      <c r="B125" s="7" t="s">
        <v>59</v>
      </c>
      <c r="C125" t="s">
        <v>38</v>
      </c>
      <c r="D125" t="s">
        <v>62</v>
      </c>
      <c r="E125" t="s">
        <v>54</v>
      </c>
      <c r="F125" t="s">
        <v>46</v>
      </c>
      <c r="G125" t="s">
        <v>25</v>
      </c>
      <c r="H125" t="s">
        <v>60</v>
      </c>
      <c r="I125" t="s">
        <v>61</v>
      </c>
      <c r="J125" s="5" t="str">
        <f t="array" ref="J125">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125" t="s">
        <v>109</v>
      </c>
    </row>
    <row r="126" spans="1:19" ht="17">
      <c r="A126" t="s">
        <v>131</v>
      </c>
      <c r="B126" s="7" t="s">
        <v>59</v>
      </c>
      <c r="C126" t="s">
        <v>38</v>
      </c>
      <c r="D126" t="s">
        <v>33</v>
      </c>
      <c r="E126" t="s">
        <v>54</v>
      </c>
      <c r="F126" t="s">
        <v>46</v>
      </c>
      <c r="G126" t="s">
        <v>25</v>
      </c>
      <c r="H126" t="s">
        <v>60</v>
      </c>
      <c r="I126" t="s">
        <v>61</v>
      </c>
      <c r="J126" s="5" t="str">
        <f t="array" ref="J126">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126" t="s">
        <v>109</v>
      </c>
      <c r="O126" t="s">
        <v>25</v>
      </c>
      <c r="P126" t="s">
        <v>50</v>
      </c>
    </row>
    <row r="127" spans="1:19" ht="17">
      <c r="A127" t="s">
        <v>131</v>
      </c>
      <c r="B127" s="7" t="s">
        <v>52</v>
      </c>
      <c r="C127" t="s">
        <v>38</v>
      </c>
      <c r="D127" t="s">
        <v>88</v>
      </c>
      <c r="E127" t="s">
        <v>54</v>
      </c>
      <c r="F127" t="s">
        <v>46</v>
      </c>
      <c r="G127" t="s">
        <v>25</v>
      </c>
      <c r="H127" t="s">
        <v>60</v>
      </c>
      <c r="I127" t="s">
        <v>61</v>
      </c>
      <c r="J127" s="5" t="str">
        <f t="array" ref="J127">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127" t="s">
        <v>109</v>
      </c>
    </row>
    <row r="128" spans="1:19" ht="16">
      <c r="A128" t="s">
        <v>131</v>
      </c>
      <c r="B128" s="7" t="s">
        <v>59</v>
      </c>
      <c r="C128" t="s">
        <v>38</v>
      </c>
      <c r="D128" t="s">
        <v>24</v>
      </c>
      <c r="E128" t="s">
        <v>54</v>
      </c>
      <c r="F128" t="s">
        <v>46</v>
      </c>
      <c r="G128" t="s">
        <v>25</v>
      </c>
      <c r="H128" t="s">
        <v>60</v>
      </c>
      <c r="I128" t="s">
        <v>61</v>
      </c>
      <c r="J128" s="5" t="str">
        <f t="array" ref="J128">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L128" t="s">
        <v>109</v>
      </c>
      <c r="O128" t="s">
        <v>25</v>
      </c>
      <c r="P128" t="s">
        <v>50</v>
      </c>
    </row>
    <row r="129" spans="1:19" ht="17">
      <c r="A129" t="s">
        <v>168</v>
      </c>
      <c r="C129" t="s">
        <v>29</v>
      </c>
      <c r="D129" t="s">
        <v>24</v>
      </c>
      <c r="J129" s="5" t="str">
        <f t="array" ref="J129">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129" t="s">
        <v>25</v>
      </c>
      <c r="P129" t="s">
        <v>50</v>
      </c>
      <c r="S129" s="11" t="s">
        <v>169</v>
      </c>
    </row>
    <row r="130" spans="1:19" ht="16">
      <c r="A130" t="s">
        <v>216</v>
      </c>
      <c r="D130" t="s">
        <v>24</v>
      </c>
      <c r="N130" t="s">
        <v>217</v>
      </c>
      <c r="O130" t="s">
        <v>25</v>
      </c>
      <c r="P130" t="s">
        <v>92</v>
      </c>
      <c r="Q130" s="17">
        <v>0</v>
      </c>
    </row>
    <row r="131" spans="1:19" ht="16">
      <c r="A131" t="s">
        <v>145</v>
      </c>
      <c r="B131" s="7" t="s">
        <v>22</v>
      </c>
      <c r="C131" t="s">
        <v>38</v>
      </c>
      <c r="E131" t="s">
        <v>54</v>
      </c>
      <c r="G131" t="s">
        <v>34</v>
      </c>
      <c r="J131" s="5" t="str">
        <f t="array" ref="J131">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131" t="s">
        <v>146</v>
      </c>
    </row>
    <row r="132" spans="1:19" ht="16">
      <c r="A132" t="s">
        <v>223</v>
      </c>
      <c r="B132" s="7" t="s">
        <v>22</v>
      </c>
      <c r="C132" t="s">
        <v>38</v>
      </c>
      <c r="D132" t="s">
        <v>24</v>
      </c>
      <c r="N132" t="s">
        <v>224</v>
      </c>
      <c r="O132" t="s">
        <v>25</v>
      </c>
      <c r="P132" t="s">
        <v>127</v>
      </c>
    </row>
    <row r="133" spans="1:19" ht="34">
      <c r="A133" t="s">
        <v>132</v>
      </c>
      <c r="B133" s="7" t="s">
        <v>52</v>
      </c>
      <c r="C133" t="s">
        <v>38</v>
      </c>
      <c r="D133" t="s">
        <v>24</v>
      </c>
      <c r="E133" t="s">
        <v>54</v>
      </c>
      <c r="F133" t="s">
        <v>46</v>
      </c>
      <c r="G133" t="s">
        <v>34</v>
      </c>
      <c r="H133" t="s">
        <v>56</v>
      </c>
      <c r="I133" t="s">
        <v>64</v>
      </c>
      <c r="J133" s="5" t="str">
        <f t="array" ref="J13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133" s="8" t="s">
        <v>73</v>
      </c>
      <c r="L133" s="8" t="s">
        <v>133</v>
      </c>
      <c r="M133" s="8"/>
      <c r="N133" s="8"/>
      <c r="O133" s="8" t="s">
        <v>25</v>
      </c>
      <c r="P133" s="8" t="s">
        <v>50</v>
      </c>
      <c r="Q133" s="15"/>
    </row>
    <row r="134" spans="1:19" ht="16">
      <c r="A134" s="11" t="s">
        <v>201</v>
      </c>
      <c r="B134" s="7" t="s">
        <v>22</v>
      </c>
      <c r="D134" t="s">
        <v>24</v>
      </c>
      <c r="N134" t="s">
        <v>202</v>
      </c>
      <c r="O134" t="s">
        <v>34</v>
      </c>
      <c r="P134" t="s">
        <v>203</v>
      </c>
      <c r="Q134" s="17">
        <v>1</v>
      </c>
    </row>
    <row r="135" spans="1:19" ht="17">
      <c r="A135" s="11" t="s">
        <v>198</v>
      </c>
      <c r="B135" s="7" t="s">
        <v>22</v>
      </c>
      <c r="D135" t="s">
        <v>33</v>
      </c>
      <c r="N135" t="s">
        <v>199</v>
      </c>
      <c r="O135" t="s">
        <v>34</v>
      </c>
      <c r="P135" t="s">
        <v>200</v>
      </c>
      <c r="Q135" s="17">
        <v>1</v>
      </c>
    </row>
    <row r="136" spans="1:19" ht="17">
      <c r="A136" t="s">
        <v>134</v>
      </c>
      <c r="B136" s="7" t="s">
        <v>52</v>
      </c>
      <c r="C136" t="s">
        <v>53</v>
      </c>
      <c r="D136" t="s">
        <v>33</v>
      </c>
      <c r="E136" t="s">
        <v>72</v>
      </c>
      <c r="F136" t="s">
        <v>135</v>
      </c>
      <c r="G136" t="s">
        <v>34</v>
      </c>
      <c r="H136" t="s">
        <v>47</v>
      </c>
      <c r="I136" t="s">
        <v>64</v>
      </c>
      <c r="J136" s="5" t="str">
        <f t="array" ref="J136">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K136" t="s">
        <v>136</v>
      </c>
      <c r="N136" t="s">
        <v>137</v>
      </c>
      <c r="O136" t="s">
        <v>34</v>
      </c>
      <c r="P136" t="s">
        <v>138</v>
      </c>
      <c r="Q136" s="17">
        <v>1</v>
      </c>
    </row>
    <row r="137" spans="1:19" ht="16">
      <c r="A137" t="s">
        <v>134</v>
      </c>
      <c r="B137" s="7" t="s">
        <v>59</v>
      </c>
      <c r="C137" t="s">
        <v>53</v>
      </c>
      <c r="D137" t="s">
        <v>105</v>
      </c>
      <c r="E137" t="s">
        <v>72</v>
      </c>
      <c r="F137" t="s">
        <v>135</v>
      </c>
      <c r="G137" t="s">
        <v>34</v>
      </c>
      <c r="H137" t="s">
        <v>56</v>
      </c>
      <c r="I137" t="s">
        <v>64</v>
      </c>
      <c r="J137" s="5" t="str">
        <f t="array" ref="J137">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38" spans="1:19" ht="16">
      <c r="A138" t="s">
        <v>243</v>
      </c>
      <c r="B138" s="7" t="s">
        <v>22</v>
      </c>
      <c r="C138" t="s">
        <v>38</v>
      </c>
      <c r="D138" t="s">
        <v>24</v>
      </c>
      <c r="N138" t="s">
        <v>91</v>
      </c>
      <c r="O138" t="s">
        <v>25</v>
      </c>
      <c r="P138" t="s">
        <v>92</v>
      </c>
      <c r="Q138" s="17">
        <v>0</v>
      </c>
    </row>
    <row r="139" spans="1:19" ht="16">
      <c r="A139" t="s">
        <v>266</v>
      </c>
      <c r="D139" t="s">
        <v>33</v>
      </c>
      <c r="N139" t="s">
        <v>41</v>
      </c>
      <c r="O139" t="s">
        <v>25</v>
      </c>
      <c r="P139" t="s">
        <v>42</v>
      </c>
    </row>
    <row r="140" spans="1:19" ht="16">
      <c r="A140" t="s">
        <v>147</v>
      </c>
      <c r="B140" s="7" t="s">
        <v>22</v>
      </c>
      <c r="C140" t="s">
        <v>53</v>
      </c>
      <c r="D140" t="s">
        <v>83</v>
      </c>
      <c r="J140" s="5" t="str">
        <f t="array" ref="J140">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row>
    <row r="141" spans="1:19" ht="17">
      <c r="A141" t="s">
        <v>147</v>
      </c>
      <c r="D141" t="s">
        <v>33</v>
      </c>
      <c r="N141" t="s">
        <v>220</v>
      </c>
      <c r="O141" t="s">
        <v>25</v>
      </c>
      <c r="P141" t="s">
        <v>92</v>
      </c>
      <c r="Q141" s="17">
        <v>0</v>
      </c>
    </row>
    <row r="142" spans="1:19" ht="16">
      <c r="A142" t="s">
        <v>147</v>
      </c>
      <c r="D142" t="s">
        <v>24</v>
      </c>
      <c r="N142" t="s">
        <v>220</v>
      </c>
      <c r="O142" t="s">
        <v>25</v>
      </c>
      <c r="P142" t="s">
        <v>92</v>
      </c>
      <c r="Q142" s="17">
        <v>0</v>
      </c>
    </row>
    <row r="143" spans="1:19" ht="16">
      <c r="A143" t="s">
        <v>139</v>
      </c>
      <c r="B143" s="7" t="s">
        <v>59</v>
      </c>
      <c r="C143" t="s">
        <v>38</v>
      </c>
      <c r="D143" t="s">
        <v>33</v>
      </c>
      <c r="E143" t="s">
        <v>22</v>
      </c>
      <c r="F143" t="s">
        <v>79</v>
      </c>
      <c r="G143" t="s">
        <v>25</v>
      </c>
      <c r="H143" t="s">
        <v>140</v>
      </c>
      <c r="I143" t="s">
        <v>64</v>
      </c>
      <c r="J143" s="5" t="str">
        <f t="array" ref="J143">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143" t="s">
        <v>25</v>
      </c>
      <c r="P143" t="s">
        <v>50</v>
      </c>
    </row>
    <row r="144" spans="1:19" ht="16">
      <c r="A144" t="s">
        <v>139</v>
      </c>
      <c r="B144" s="7" t="s">
        <v>59</v>
      </c>
      <c r="C144" t="s">
        <v>38</v>
      </c>
      <c r="D144" t="s">
        <v>24</v>
      </c>
      <c r="E144" t="s">
        <v>22</v>
      </c>
      <c r="F144" t="s">
        <v>79</v>
      </c>
      <c r="G144" t="s">
        <v>25</v>
      </c>
      <c r="H144" t="s">
        <v>140</v>
      </c>
      <c r="I144" t="s">
        <v>64</v>
      </c>
      <c r="J144" s="5" t="str">
        <f t="array" ref="J144">IFERROR(AVERAGE(
    INDEX(RefScore[score], MATCH(1, (RefScore[category]="Customer Segment")*(RefScore[value]=#REF!), 0)),
    INDEX(RefScore[score], MATCH(1, (RefScore[category]="Technologies")*(RefScore[value]=#REF!), 0)),
    INDEX(RefScore[score], MATCH(1, (RefScore[category]="Existing Services")*(RefScore[value]=#REF!), 0)),
    INDEX(RefScore[score], MATCH(1, (RefScore[category]="Approximate Deal Size")*(RefScore[value]=#REF!), 0)),
    INDEX(RefScore[score], MATCH(1, (RefScore[category]="Customer Network Access")*(RefScore[value]=#REF!), 0)),
    INDEX(RefScore[score], MATCH(1, (RefScore[category]="Start Date")*(RefScore[value]=#REF!), 0)),
    INDEX(RefScore[score], MATCH(1, (RefScore[category]="Implementation Team")*(RefScore[value]=#REF!), 0))
), "")</f>
        <v/>
      </c>
      <c r="O144" t="s">
        <v>25</v>
      </c>
      <c r="P144" t="s">
        <v>50</v>
      </c>
    </row>
    <row r="145" spans="1:17" ht="17">
      <c r="A145" s="11" t="s">
        <v>184</v>
      </c>
      <c r="B145" s="7" t="s">
        <v>22</v>
      </c>
      <c r="D145" t="s">
        <v>33</v>
      </c>
      <c r="N145" t="s">
        <v>180</v>
      </c>
      <c r="O145" t="s">
        <v>34</v>
      </c>
      <c r="P145" t="s">
        <v>185</v>
      </c>
      <c r="Q145" s="17">
        <v>1</v>
      </c>
    </row>
    <row r="146" spans="1:17" ht="17">
      <c r="A146" t="s">
        <v>214</v>
      </c>
      <c r="D146" t="s">
        <v>24</v>
      </c>
      <c r="N146" t="s">
        <v>215</v>
      </c>
      <c r="O146" t="s">
        <v>25</v>
      </c>
      <c r="P146" t="s">
        <v>27</v>
      </c>
      <c r="Q146" s="17">
        <v>0</v>
      </c>
    </row>
  </sheetData>
  <conditionalFormatting sqref="B2:B1048576">
    <cfRule type="containsText" dxfId="4" priority="1" operator="containsText" text="None">
      <formula>NOT(ISERROR(SEARCH("None",B2)))</formula>
    </cfRule>
    <cfRule type="containsText" dxfId="3" priority="2" operator="containsText" text="High">
      <formula>NOT(ISERROR(SEARCH("High",B2)))</formula>
    </cfRule>
  </conditionalFormatting>
  <conditionalFormatting sqref="J2:J1048576">
    <cfRule type="colorScale" priority="3">
      <colorScale>
        <cfvo type="num" val="0"/>
        <cfvo type="num" val="5"/>
        <cfvo type="num" val="10"/>
        <color rgb="FFFF0000"/>
        <color rgb="FFFFFF00"/>
        <color rgb="FF00B050"/>
      </colorScale>
    </cfRule>
  </conditionalFormatting>
  <dataValidations count="8">
    <dataValidation type="list" allowBlank="1" showInputMessage="1" showErrorMessage="1" sqref="C2:C1048576" xr:uid="{00000000-0002-0000-0000-000000000000}">
      <formula1>INDIRECT("RefValues[cust_segment]")</formula1>
    </dataValidation>
    <dataValidation type="list" allowBlank="1" showInputMessage="1" showErrorMessage="1" sqref="D2:D1048576" xr:uid="{00000000-0002-0000-0000-000001000000}">
      <formula1>INDIRECT("RefValues[tech]")</formula1>
    </dataValidation>
    <dataValidation type="list" allowBlank="1" showInputMessage="1" showErrorMessage="1" sqref="E2:E1048576" xr:uid="{00000000-0002-0000-0000-000002000000}">
      <formula1>INDIRECT("RefValues[ext_svc]")</formula1>
    </dataValidation>
    <dataValidation type="list" allowBlank="1" showInputMessage="1" showErrorMessage="1" sqref="F2:F1048576" xr:uid="{00000000-0002-0000-0000-000003000000}">
      <formula1>INDIRECT("RefValues[deal_size]")</formula1>
    </dataValidation>
    <dataValidation type="list" allowBlank="1" showInputMessage="1" showErrorMessage="1" sqref="G2:G1048576" xr:uid="{00000000-0002-0000-0000-000004000000}">
      <formula1>INDIRECT("RefValues[net_access]")</formula1>
    </dataValidation>
    <dataValidation type="list" allowBlank="1" showInputMessage="1" showErrorMessage="1" sqref="I2:I1048576" xr:uid="{00000000-0002-0000-0000-000005000000}">
      <formula1>INDIRECT("RefValues[impl_team]")</formula1>
    </dataValidation>
    <dataValidation type="list" operator="greaterThan" allowBlank="1" showInputMessage="1" showErrorMessage="1" sqref="H2:H1048576" xr:uid="{00000000-0002-0000-0000-000006000000}">
      <formula1>INDIRECT("RefValues[start_date]")</formula1>
    </dataValidation>
    <dataValidation type="list" allowBlank="1" showInputMessage="1" showErrorMessage="1" sqref="B2:B1048576" xr:uid="{00000000-0002-0000-0000-000007000000}">
      <formula1>INDIRECT("RefValues[priority]")</formula1>
    </dataValidation>
  </dataValidations>
  <pageMargins left="0.7" right="0.7" top="0.75" bottom="0.75" header="0.3" footer="0.3"/>
  <headerFooter>
    <oddFooter>&amp;R&amp;"Aptos"&amp;8 &amp;K000000_x000D_# Cisco Confidential_x000D_&amp;1#&amp;"Aptos"&amp;8&amp;K000000 Cisco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42"/>
  <sheetViews>
    <sheetView topLeftCell="C1" zoomScale="150" zoomScaleNormal="150" workbookViewId="0">
      <selection activeCell="K3" sqref="K3"/>
    </sheetView>
  </sheetViews>
  <sheetFormatPr baseColWidth="10" defaultColWidth="11.5" defaultRowHeight="16"/>
  <cols>
    <col min="2" max="2" width="19" customWidth="1"/>
    <col min="3" max="3" width="14" customWidth="1"/>
    <col min="4" max="4" width="17.33203125" customWidth="1"/>
    <col min="5" max="5" width="21.5" customWidth="1"/>
    <col min="6" max="6" width="16.6640625" customWidth="1"/>
    <col min="7" max="7" width="27.6640625" customWidth="1"/>
    <col min="8" max="8" width="20.6640625" customWidth="1"/>
    <col min="11" max="11" width="22.5" bestFit="1" customWidth="1"/>
    <col min="12" max="12" width="17.1640625" customWidth="1"/>
  </cols>
  <sheetData>
    <row r="2" spans="2:13" ht="17" customHeight="1">
      <c r="B2" s="2" t="s">
        <v>275</v>
      </c>
      <c r="C2" s="2" t="s">
        <v>276</v>
      </c>
      <c r="D2" s="2" t="s">
        <v>277</v>
      </c>
      <c r="E2" s="2" t="s">
        <v>278</v>
      </c>
      <c r="F2" s="2" t="s">
        <v>279</v>
      </c>
      <c r="G2" s="2" t="s">
        <v>280</v>
      </c>
      <c r="H2" s="2" t="s">
        <v>281</v>
      </c>
      <c r="I2" s="2" t="s">
        <v>282</v>
      </c>
      <c r="K2" t="s">
        <v>283</v>
      </c>
      <c r="L2" t="s">
        <v>284</v>
      </c>
      <c r="M2" t="s">
        <v>285</v>
      </c>
    </row>
    <row r="3" spans="2:13">
      <c r="B3" t="s">
        <v>38</v>
      </c>
      <c r="C3" t="s">
        <v>33</v>
      </c>
      <c r="D3" t="s">
        <v>45</v>
      </c>
      <c r="E3" t="s">
        <v>135</v>
      </c>
      <c r="F3" t="s">
        <v>34</v>
      </c>
      <c r="G3" t="s">
        <v>47</v>
      </c>
      <c r="H3" t="s">
        <v>64</v>
      </c>
      <c r="I3" t="s">
        <v>52</v>
      </c>
      <c r="K3" t="e">
        <f>#REF!</f>
        <v>#REF!</v>
      </c>
      <c r="L3" t="str">
        <f>RefValues[[#This Row],[cust_segment]]</f>
        <v>GES-East</v>
      </c>
      <c r="M3" s="3">
        <v>7</v>
      </c>
    </row>
    <row r="4" spans="2:13">
      <c r="B4" t="s">
        <v>29</v>
      </c>
      <c r="C4" t="s">
        <v>24</v>
      </c>
      <c r="D4" t="s">
        <v>54</v>
      </c>
      <c r="E4" t="s">
        <v>46</v>
      </c>
      <c r="F4" t="s">
        <v>25</v>
      </c>
      <c r="G4" t="s">
        <v>56</v>
      </c>
      <c r="H4" t="s">
        <v>48</v>
      </c>
      <c r="I4" t="s">
        <v>59</v>
      </c>
      <c r="K4" t="e">
        <f>#REF!</f>
        <v>#REF!</v>
      </c>
      <c r="L4" t="str">
        <f>RefValues[[#This Row],[cust_segment]]</f>
        <v>GES-West</v>
      </c>
      <c r="M4" s="3">
        <v>2</v>
      </c>
    </row>
    <row r="5" spans="2:13">
      <c r="B5" t="s">
        <v>23</v>
      </c>
      <c r="C5" t="s">
        <v>62</v>
      </c>
      <c r="D5" t="s">
        <v>87</v>
      </c>
      <c r="E5" t="s">
        <v>79</v>
      </c>
      <c r="G5" t="s">
        <v>60</v>
      </c>
      <c r="H5" t="s">
        <v>102</v>
      </c>
      <c r="I5" t="s">
        <v>22</v>
      </c>
      <c r="K5" t="e">
        <f>#REF!</f>
        <v>#REF!</v>
      </c>
      <c r="L5" t="str">
        <f>RefValues[[#This Row],[cust_segment]]</f>
        <v>GES-Central</v>
      </c>
      <c r="M5" s="3">
        <v>2</v>
      </c>
    </row>
    <row r="6" spans="2:13">
      <c r="B6" t="s">
        <v>53</v>
      </c>
      <c r="C6" t="s">
        <v>83</v>
      </c>
      <c r="D6" t="s">
        <v>72</v>
      </c>
      <c r="E6" t="s">
        <v>55</v>
      </c>
      <c r="G6" t="s">
        <v>140</v>
      </c>
      <c r="H6" t="s">
        <v>61</v>
      </c>
      <c r="K6" t="e">
        <f>#REF!</f>
        <v>#REF!</v>
      </c>
      <c r="L6" t="str">
        <f>RefValues[[#This Row],[cust_segment]]</f>
        <v>GES-Premier</v>
      </c>
      <c r="M6" s="3">
        <v>3</v>
      </c>
    </row>
    <row r="7" spans="2:13">
      <c r="B7" t="s">
        <v>286</v>
      </c>
      <c r="C7" t="s">
        <v>105</v>
      </c>
      <c r="D7" t="s">
        <v>287</v>
      </c>
      <c r="G7" t="s">
        <v>288</v>
      </c>
      <c r="H7" t="s">
        <v>72</v>
      </c>
      <c r="K7" t="e">
        <f>#REF!</f>
        <v>#REF!</v>
      </c>
      <c r="L7" t="str">
        <f>RefValues[[#This Row],[cust_segment]]</f>
        <v>Other</v>
      </c>
      <c r="M7" s="3">
        <v>1</v>
      </c>
    </row>
    <row r="8" spans="2:13">
      <c r="C8" t="s">
        <v>149</v>
      </c>
      <c r="D8" t="s">
        <v>22</v>
      </c>
      <c r="H8" t="s">
        <v>286</v>
      </c>
      <c r="K8" t="e">
        <f>#REF!</f>
        <v>#REF!</v>
      </c>
      <c r="L8" t="str">
        <f t="shared" ref="L8:L16" si="0">C3</f>
        <v>SD-WAN</v>
      </c>
      <c r="M8" s="3">
        <v>10</v>
      </c>
    </row>
    <row r="9" spans="2:13">
      <c r="C9" t="s">
        <v>150</v>
      </c>
      <c r="D9" t="s">
        <v>286</v>
      </c>
      <c r="K9" t="e">
        <f>#REF!</f>
        <v>#REF!</v>
      </c>
      <c r="L9" t="str">
        <f t="shared" si="0"/>
        <v>Cat-C/SDA</v>
      </c>
      <c r="M9" s="3">
        <v>8</v>
      </c>
    </row>
    <row r="10" spans="2:13">
      <c r="C10" t="s">
        <v>88</v>
      </c>
      <c r="K10" t="e">
        <f>#REF!</f>
        <v>#REF!</v>
      </c>
      <c r="L10" t="str">
        <f t="shared" si="0"/>
        <v>ACI</v>
      </c>
      <c r="M10" s="3">
        <v>10</v>
      </c>
    </row>
    <row r="11" spans="2:13">
      <c r="C11" t="s">
        <v>122</v>
      </c>
      <c r="K11" t="e">
        <f>#REF!</f>
        <v>#REF!</v>
      </c>
      <c r="L11" t="str">
        <f t="shared" si="0"/>
        <v>NDFC</v>
      </c>
      <c r="M11" s="3">
        <v>10</v>
      </c>
    </row>
    <row r="12" spans="2:13">
      <c r="C12" t="s">
        <v>74</v>
      </c>
      <c r="K12" t="e">
        <f>#REF!</f>
        <v>#REF!</v>
      </c>
      <c r="L12" t="str">
        <f t="shared" si="0"/>
        <v>IOS-XE</v>
      </c>
      <c r="M12" s="3">
        <v>5</v>
      </c>
    </row>
    <row r="13" spans="2:13">
      <c r="C13" t="s">
        <v>289</v>
      </c>
      <c r="K13" t="e">
        <f>#REF!</f>
        <v>#REF!</v>
      </c>
      <c r="L13" t="str">
        <f t="shared" si="0"/>
        <v>IOS-XR</v>
      </c>
      <c r="M13" s="3">
        <v>2</v>
      </c>
    </row>
    <row r="14" spans="2:13">
      <c r="K14" t="e">
        <f>#REF!</f>
        <v>#REF!</v>
      </c>
      <c r="L14" t="str">
        <f t="shared" si="0"/>
        <v>NX-OS</v>
      </c>
      <c r="M14" s="3">
        <v>3</v>
      </c>
    </row>
    <row r="15" spans="2:13">
      <c r="K15" t="e">
        <f>#REF!</f>
        <v>#REF!</v>
      </c>
      <c r="L15" t="str">
        <f t="shared" si="0"/>
        <v>ISE</v>
      </c>
      <c r="M15" s="3">
        <v>5</v>
      </c>
    </row>
    <row r="16" spans="2:13">
      <c r="K16" t="e">
        <f>#REF!</f>
        <v>#REF!</v>
      </c>
      <c r="L16" t="str">
        <f t="shared" si="0"/>
        <v>FMC</v>
      </c>
      <c r="M16" s="3">
        <v>1</v>
      </c>
    </row>
    <row r="17" spans="11:13">
      <c r="K17" t="e">
        <f>#REF!</f>
        <v>#REF!</v>
      </c>
      <c r="L17" t="str">
        <f>C13</f>
        <v>Multiple</v>
      </c>
      <c r="M17" s="3">
        <v>8</v>
      </c>
    </row>
    <row r="18" spans="11:13">
      <c r="K18" t="e">
        <f>#REF!</f>
        <v>#REF!</v>
      </c>
      <c r="L18" t="str">
        <f>C12</f>
        <v>Meraki</v>
      </c>
      <c r="M18" s="3">
        <v>10</v>
      </c>
    </row>
    <row r="19" spans="11:13">
      <c r="K19" t="e">
        <f>#REF!</f>
        <v>#REF!</v>
      </c>
      <c r="L19" t="str">
        <f t="shared" ref="L19:L25" si="1">D3</f>
        <v>PDI</v>
      </c>
      <c r="M19" s="3">
        <v>5</v>
      </c>
    </row>
    <row r="20" spans="11:13">
      <c r="K20" t="e">
        <f>#REF!</f>
        <v>#REF!</v>
      </c>
      <c r="L20" t="str">
        <f t="shared" si="1"/>
        <v>BCS/LCS</v>
      </c>
      <c r="M20" s="3">
        <v>7</v>
      </c>
    </row>
    <row r="21" spans="11:13">
      <c r="K21" t="e">
        <f>#REF!</f>
        <v>#REF!</v>
      </c>
      <c r="L21" t="str">
        <f t="shared" si="1"/>
        <v>SME/SAS</v>
      </c>
      <c r="M21" s="3">
        <v>5</v>
      </c>
    </row>
    <row r="22" spans="11:13">
      <c r="K22" t="e">
        <f>#REF!</f>
        <v>#REF!</v>
      </c>
      <c r="L22" t="str">
        <f t="shared" si="1"/>
        <v>CMS</v>
      </c>
      <c r="M22" s="3">
        <v>9</v>
      </c>
    </row>
    <row r="23" spans="11:13">
      <c r="K23" t="e">
        <f>#REF!</f>
        <v>#REF!</v>
      </c>
      <c r="L23" t="str">
        <f t="shared" si="1"/>
        <v>Partner-Led</v>
      </c>
      <c r="M23" s="3">
        <v>2</v>
      </c>
    </row>
    <row r="24" spans="11:13">
      <c r="K24" t="e">
        <f>#REF!</f>
        <v>#REF!</v>
      </c>
      <c r="L24" t="str">
        <f t="shared" si="1"/>
        <v>None</v>
      </c>
      <c r="M24" s="3">
        <v>1</v>
      </c>
    </row>
    <row r="25" spans="11:13">
      <c r="K25" t="e">
        <f>#REF!</f>
        <v>#REF!</v>
      </c>
      <c r="L25" t="str">
        <f t="shared" si="1"/>
        <v>Other</v>
      </c>
      <c r="M25" s="3">
        <v>0</v>
      </c>
    </row>
    <row r="26" spans="11:13">
      <c r="K26" t="e">
        <f>#REF!</f>
        <v>#REF!</v>
      </c>
      <c r="L26" t="str">
        <f>E3</f>
        <v>&lt;$100,000</v>
      </c>
      <c r="M26" s="3">
        <v>2</v>
      </c>
    </row>
    <row r="27" spans="11:13">
      <c r="K27" t="e">
        <f>#REF!</f>
        <v>#REF!</v>
      </c>
      <c r="L27" t="str">
        <f>E4</f>
        <v>$100,000-$500,000</v>
      </c>
      <c r="M27" s="3">
        <v>5</v>
      </c>
    </row>
    <row r="28" spans="11:13">
      <c r="K28" t="e">
        <f>#REF!</f>
        <v>#REF!</v>
      </c>
      <c r="L28" t="str">
        <f>E5</f>
        <v>$500,000-$1M</v>
      </c>
      <c r="M28" s="3">
        <v>7</v>
      </c>
    </row>
    <row r="29" spans="11:13">
      <c r="K29" t="e">
        <f>#REF!</f>
        <v>#REF!</v>
      </c>
      <c r="L29" t="str">
        <f>E6</f>
        <v>&gt;$1M</v>
      </c>
      <c r="M29" s="3">
        <v>10</v>
      </c>
    </row>
    <row r="30" spans="11:13">
      <c r="K30" t="e">
        <f>#REF!</f>
        <v>#REF!</v>
      </c>
      <c r="L30" t="str">
        <f>F3</f>
        <v>Yes</v>
      </c>
      <c r="M30" s="3">
        <v>10</v>
      </c>
    </row>
    <row r="31" spans="11:13">
      <c r="K31" t="e">
        <f>#REF!</f>
        <v>#REF!</v>
      </c>
      <c r="L31" t="str">
        <f>F4</f>
        <v>No</v>
      </c>
      <c r="M31" s="3">
        <v>0</v>
      </c>
    </row>
    <row r="32" spans="11:13">
      <c r="K32" t="e">
        <f>#REF!</f>
        <v>#REF!</v>
      </c>
      <c r="L32" t="str">
        <f>G3</f>
        <v>1 Month</v>
      </c>
      <c r="M32" s="3">
        <v>2</v>
      </c>
    </row>
    <row r="33" spans="11:13">
      <c r="K33" t="e">
        <f>#REF!</f>
        <v>#REF!</v>
      </c>
      <c r="L33" t="str">
        <f>G4</f>
        <v>3 Months</v>
      </c>
      <c r="M33" s="3">
        <v>4</v>
      </c>
    </row>
    <row r="34" spans="11:13">
      <c r="K34" t="e">
        <f>#REF!</f>
        <v>#REF!</v>
      </c>
      <c r="L34" t="str">
        <f>G5</f>
        <v>6 Months</v>
      </c>
      <c r="M34" s="3">
        <v>6</v>
      </c>
    </row>
    <row r="35" spans="11:13">
      <c r="K35" t="e">
        <f>#REF!</f>
        <v>#REF!</v>
      </c>
      <c r="L35" t="str">
        <f>G6</f>
        <v>9 Months</v>
      </c>
      <c r="M35" s="3">
        <v>8</v>
      </c>
    </row>
    <row r="36" spans="11:13">
      <c r="K36" t="e">
        <f>#REF!</f>
        <v>#REF!</v>
      </c>
      <c r="L36" t="str">
        <f>G7</f>
        <v>1 Year</v>
      </c>
      <c r="M36" s="3">
        <v>10</v>
      </c>
    </row>
    <row r="37" spans="11:13">
      <c r="K37" t="e">
        <f>#REF!</f>
        <v>#REF!</v>
      </c>
      <c r="L37" t="str">
        <f t="shared" ref="L37:L42" si="2">H3</f>
        <v>Theater</v>
      </c>
      <c r="M37" s="3">
        <v>8</v>
      </c>
    </row>
    <row r="38" spans="11:13">
      <c r="K38" t="e">
        <f>#REF!</f>
        <v>#REF!</v>
      </c>
      <c r="L38" t="str">
        <f t="shared" si="2"/>
        <v>Migration</v>
      </c>
      <c r="M38" s="3">
        <v>4</v>
      </c>
    </row>
    <row r="39" spans="11:13">
      <c r="K39" t="e">
        <f>#REF!</f>
        <v>#REF!</v>
      </c>
      <c r="L39" t="str">
        <f t="shared" si="2"/>
        <v>Partner</v>
      </c>
      <c r="M39" s="3">
        <v>2</v>
      </c>
    </row>
    <row r="40" spans="11:13">
      <c r="K40" t="e">
        <f>#REF!</f>
        <v>#REF!</v>
      </c>
      <c r="L40" t="str">
        <f t="shared" si="2"/>
        <v>Customer</v>
      </c>
      <c r="M40" s="3">
        <v>1</v>
      </c>
    </row>
    <row r="41" spans="11:13">
      <c r="K41" t="e">
        <f>#REF!</f>
        <v>#REF!</v>
      </c>
      <c r="L41" t="str">
        <f t="shared" si="2"/>
        <v>CMS</v>
      </c>
      <c r="M41" s="3">
        <v>5</v>
      </c>
    </row>
    <row r="42" spans="11:13">
      <c r="K42" t="e">
        <f>#REF!</f>
        <v>#REF!</v>
      </c>
      <c r="L42" t="str">
        <f t="shared" si="2"/>
        <v>Other</v>
      </c>
      <c r="M42" s="3">
        <v>0</v>
      </c>
    </row>
  </sheetData>
  <sheetProtection sheet="1" objects="1" scenarios="1"/>
  <pageMargins left="0.7" right="0.7" top="0.75" bottom="0.75" header="0.3" footer="0.3"/>
  <headerFooter>
    <oddFooter>&amp;R_x000D_&amp;1#&amp;"Aptos"&amp;8&amp;K000000 Cisco Confidential</oddFooter>
  </headerFooter>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E3E9-45CB-5A4E-A51E-6EDED9F4797D}">
  <dimension ref="A1:F146"/>
  <sheetViews>
    <sheetView zoomScale="130" zoomScaleNormal="130" workbookViewId="0">
      <pane xSplit="4" topLeftCell="E1" activePane="topRight" state="frozen"/>
      <selection activeCell="A2" sqref="A2"/>
      <selection pane="topRight" activeCell="E2" sqref="E2"/>
    </sheetView>
  </sheetViews>
  <sheetFormatPr baseColWidth="10" defaultColWidth="11.5" defaultRowHeight="15" customHeight="1"/>
  <cols>
    <col min="1" max="1" width="14" customWidth="1"/>
    <col min="2" max="2" width="22.33203125" style="11" customWidth="1"/>
    <col min="3" max="3" width="15.1640625" style="7" customWidth="1"/>
    <col min="4" max="4" width="18.5" customWidth="1"/>
    <col min="5" max="6" width="14" customWidth="1"/>
  </cols>
  <sheetData>
    <row r="1" spans="1:6" s="1" customFormat="1" ht="48" customHeight="1">
      <c r="A1" s="2" t="s">
        <v>291</v>
      </c>
      <c r="B1" s="2" t="s">
        <v>0</v>
      </c>
      <c r="C1" s="2" t="s">
        <v>1</v>
      </c>
      <c r="D1" s="2" t="s">
        <v>2</v>
      </c>
      <c r="E1" s="2" t="s">
        <v>290</v>
      </c>
      <c r="F1" s="2" t="s">
        <v>292</v>
      </c>
    </row>
    <row r="2" spans="1:6" ht="16" customHeight="1">
      <c r="B2" s="6" t="s">
        <v>21</v>
      </c>
      <c r="C2" s="7" t="s">
        <v>22</v>
      </c>
      <c r="D2" t="s">
        <v>23</v>
      </c>
      <c r="E2" t="s">
        <v>24</v>
      </c>
      <c r="F2" s="18"/>
    </row>
    <row r="3" spans="1:6" ht="16" customHeight="1">
      <c r="B3" s="6" t="s">
        <v>28</v>
      </c>
      <c r="C3" s="7" t="s">
        <v>22</v>
      </c>
      <c r="D3" t="s">
        <v>29</v>
      </c>
      <c r="F3" s="19"/>
    </row>
    <row r="4" spans="1:6" ht="16" customHeight="1">
      <c r="B4" s="6" t="s">
        <v>32</v>
      </c>
      <c r="C4" s="7" t="s">
        <v>22</v>
      </c>
      <c r="D4" t="s">
        <v>23</v>
      </c>
      <c r="F4" s="18"/>
    </row>
    <row r="5" spans="1:6" ht="16" customHeight="1">
      <c r="B5" s="6" t="s">
        <v>37</v>
      </c>
      <c r="C5" s="7" t="s">
        <v>22</v>
      </c>
      <c r="D5" t="s">
        <v>38</v>
      </c>
      <c r="F5" s="19"/>
    </row>
    <row r="6" spans="1:6" ht="16" customHeight="1">
      <c r="B6" s="6" t="s">
        <v>40</v>
      </c>
      <c r="C6" s="7" t="s">
        <v>22</v>
      </c>
      <c r="D6" t="s">
        <v>29</v>
      </c>
      <c r="F6" s="18"/>
    </row>
    <row r="7" spans="1:6" ht="16" customHeight="1">
      <c r="B7" s="6" t="s">
        <v>43</v>
      </c>
      <c r="C7" s="7" t="s">
        <v>22</v>
      </c>
      <c r="D7" t="s">
        <v>23</v>
      </c>
      <c r="F7" s="19"/>
    </row>
    <row r="8" spans="1:6" ht="16" customHeight="1">
      <c r="B8" s="6" t="s">
        <v>43</v>
      </c>
      <c r="C8" s="7" t="s">
        <v>22</v>
      </c>
      <c r="D8" t="s">
        <v>23</v>
      </c>
      <c r="F8" s="18"/>
    </row>
    <row r="9" spans="1:6" ht="16" customHeight="1">
      <c r="B9" s="6" t="s">
        <v>44</v>
      </c>
      <c r="C9" s="7" t="s">
        <v>22</v>
      </c>
      <c r="D9" t="s">
        <v>23</v>
      </c>
      <c r="F9" s="19"/>
    </row>
    <row r="10" spans="1:6" ht="16" customHeight="1">
      <c r="B10" t="s">
        <v>51</v>
      </c>
      <c r="C10" s="7" t="s">
        <v>52</v>
      </c>
      <c r="D10" t="s">
        <v>53</v>
      </c>
      <c r="F10" s="18"/>
    </row>
    <row r="11" spans="1:6" ht="16" customHeight="1">
      <c r="B11" t="s">
        <v>58</v>
      </c>
      <c r="C11" s="7" t="s">
        <v>59</v>
      </c>
      <c r="D11" t="s">
        <v>38</v>
      </c>
      <c r="F11" s="19"/>
    </row>
    <row r="12" spans="1:6" ht="16" customHeight="1">
      <c r="B12" t="s">
        <v>58</v>
      </c>
      <c r="C12" s="7" t="s">
        <v>59</v>
      </c>
      <c r="D12" t="s">
        <v>38</v>
      </c>
      <c r="F12" s="18"/>
    </row>
    <row r="13" spans="1:6" ht="16" customHeight="1">
      <c r="B13" t="s">
        <v>58</v>
      </c>
      <c r="C13" s="7" t="s">
        <v>59</v>
      </c>
      <c r="D13" t="s">
        <v>38</v>
      </c>
      <c r="F13" s="19"/>
    </row>
    <row r="14" spans="1:6" ht="51" customHeight="1">
      <c r="B14" t="s">
        <v>63</v>
      </c>
      <c r="C14" s="7" t="s">
        <v>52</v>
      </c>
      <c r="D14" t="s">
        <v>29</v>
      </c>
      <c r="F14" s="18"/>
    </row>
    <row r="15" spans="1:6" ht="16" customHeight="1">
      <c r="B15" t="s">
        <v>71</v>
      </c>
      <c r="C15" s="7" t="s">
        <v>52</v>
      </c>
      <c r="D15" t="s">
        <v>53</v>
      </c>
      <c r="F15" s="19"/>
    </row>
    <row r="16" spans="1:6" ht="16" customHeight="1">
      <c r="B16" t="s">
        <v>71</v>
      </c>
      <c r="C16" s="7" t="s">
        <v>52</v>
      </c>
      <c r="D16" t="s">
        <v>53</v>
      </c>
      <c r="F16" s="18"/>
    </row>
    <row r="17" spans="2:6" ht="16" customHeight="1">
      <c r="B17" t="s">
        <v>76</v>
      </c>
      <c r="C17" s="7" t="s">
        <v>52</v>
      </c>
      <c r="D17" t="s">
        <v>53</v>
      </c>
      <c r="F17" s="19"/>
    </row>
    <row r="18" spans="2:6" ht="16" customHeight="1">
      <c r="B18" t="s">
        <v>78</v>
      </c>
      <c r="C18" s="7" t="s">
        <v>52</v>
      </c>
      <c r="D18" t="s">
        <v>38</v>
      </c>
      <c r="F18" s="18"/>
    </row>
    <row r="19" spans="2:6" ht="16" customHeight="1">
      <c r="B19" t="s">
        <v>82</v>
      </c>
      <c r="C19" s="7" t="s">
        <v>52</v>
      </c>
      <c r="D19" t="s">
        <v>38</v>
      </c>
      <c r="F19" s="19"/>
    </row>
    <row r="20" spans="2:6" ht="16" customHeight="1">
      <c r="B20" t="s">
        <v>82</v>
      </c>
      <c r="C20" s="7" t="s">
        <v>52</v>
      </c>
      <c r="D20" t="s">
        <v>38</v>
      </c>
      <c r="F20" s="18"/>
    </row>
    <row r="21" spans="2:6" ht="16" customHeight="1">
      <c r="B21" t="s">
        <v>86</v>
      </c>
      <c r="C21" s="7" t="s">
        <v>59</v>
      </c>
      <c r="D21" t="s">
        <v>38</v>
      </c>
      <c r="F21" s="19"/>
    </row>
    <row r="22" spans="2:6" ht="16" customHeight="1">
      <c r="B22" t="s">
        <v>86</v>
      </c>
      <c r="C22" s="7" t="s">
        <v>59</v>
      </c>
      <c r="D22" t="s">
        <v>38</v>
      </c>
      <c r="F22" s="18"/>
    </row>
    <row r="23" spans="2:6" ht="16" customHeight="1">
      <c r="B23" t="s">
        <v>86</v>
      </c>
      <c r="C23" s="7" t="s">
        <v>59</v>
      </c>
      <c r="D23" t="s">
        <v>38</v>
      </c>
      <c r="F23" s="19"/>
    </row>
    <row r="24" spans="2:6" ht="16" customHeight="1">
      <c r="B24" t="s">
        <v>86</v>
      </c>
      <c r="C24" s="7" t="s">
        <v>59</v>
      </c>
      <c r="D24" t="s">
        <v>38</v>
      </c>
      <c r="F24" s="18"/>
    </row>
    <row r="25" spans="2:6" ht="16" customHeight="1">
      <c r="B25" t="s">
        <v>86</v>
      </c>
      <c r="C25" s="7" t="s">
        <v>59</v>
      </c>
      <c r="D25" t="s">
        <v>38</v>
      </c>
      <c r="F25" s="19"/>
    </row>
    <row r="26" spans="2:6" ht="16" customHeight="1">
      <c r="B26" t="s">
        <v>90</v>
      </c>
      <c r="C26" s="7" t="s">
        <v>59</v>
      </c>
      <c r="D26" t="s">
        <v>38</v>
      </c>
      <c r="F26" s="18"/>
    </row>
    <row r="27" spans="2:6" ht="16" customHeight="1">
      <c r="B27" t="s">
        <v>93</v>
      </c>
      <c r="C27" s="7" t="s">
        <v>59</v>
      </c>
      <c r="D27" t="s">
        <v>38</v>
      </c>
      <c r="F27" s="19"/>
    </row>
    <row r="28" spans="2:6" ht="16" customHeight="1">
      <c r="B28" t="s">
        <v>93</v>
      </c>
      <c r="C28" s="7" t="s">
        <v>52</v>
      </c>
      <c r="D28" t="s">
        <v>38</v>
      </c>
      <c r="F28" s="18"/>
    </row>
    <row r="29" spans="2:6" ht="16" customHeight="1">
      <c r="B29" t="s">
        <v>93</v>
      </c>
      <c r="C29" s="7" t="s">
        <v>52</v>
      </c>
      <c r="D29" t="s">
        <v>38</v>
      </c>
      <c r="F29" s="19"/>
    </row>
    <row r="30" spans="2:6" ht="16" customHeight="1">
      <c r="B30" t="s">
        <v>97</v>
      </c>
      <c r="C30" s="7" t="s">
        <v>59</v>
      </c>
      <c r="D30" t="s">
        <v>53</v>
      </c>
      <c r="F30" s="18"/>
    </row>
    <row r="31" spans="2:6" ht="16" customHeight="1">
      <c r="B31" t="s">
        <v>99</v>
      </c>
      <c r="C31" s="7" t="s">
        <v>59</v>
      </c>
      <c r="D31" t="s">
        <v>38</v>
      </c>
      <c r="F31" s="19"/>
    </row>
    <row r="32" spans="2:6" ht="16" customHeight="1">
      <c r="B32" t="s">
        <v>99</v>
      </c>
      <c r="C32" s="7" t="s">
        <v>59</v>
      </c>
      <c r="D32" t="s">
        <v>38</v>
      </c>
      <c r="F32" s="18"/>
    </row>
    <row r="33" spans="2:6" ht="16" customHeight="1">
      <c r="B33" t="s">
        <v>99</v>
      </c>
      <c r="C33" s="7" t="s">
        <v>59</v>
      </c>
      <c r="D33" t="s">
        <v>38</v>
      </c>
      <c r="F33" s="19"/>
    </row>
    <row r="34" spans="2:6" ht="16" customHeight="1">
      <c r="B34" t="s">
        <v>100</v>
      </c>
      <c r="C34" s="7" t="s">
        <v>52</v>
      </c>
      <c r="D34" t="s">
        <v>38</v>
      </c>
      <c r="F34" s="18"/>
    </row>
    <row r="35" spans="2:6" ht="16" customHeight="1">
      <c r="B35" s="10" t="s">
        <v>101</v>
      </c>
      <c r="C35" s="7" t="s">
        <v>52</v>
      </c>
      <c r="D35" t="s">
        <v>23</v>
      </c>
      <c r="F35" s="19"/>
    </row>
    <row r="36" spans="2:6" ht="16" customHeight="1">
      <c r="B36" s="10" t="s">
        <v>101</v>
      </c>
      <c r="C36" s="7" t="s">
        <v>52</v>
      </c>
      <c r="D36" t="s">
        <v>23</v>
      </c>
      <c r="F36" s="18"/>
    </row>
    <row r="37" spans="2:6" ht="16" customHeight="1">
      <c r="B37" s="10" t="s">
        <v>101</v>
      </c>
      <c r="C37" s="7" t="s">
        <v>52</v>
      </c>
      <c r="D37" t="s">
        <v>23</v>
      </c>
      <c r="F37" s="19"/>
    </row>
    <row r="38" spans="2:6" ht="16" customHeight="1">
      <c r="B38" t="s">
        <v>107</v>
      </c>
      <c r="C38" s="7" t="s">
        <v>52</v>
      </c>
      <c r="D38" t="s">
        <v>38</v>
      </c>
      <c r="F38" s="18"/>
    </row>
    <row r="39" spans="2:6" ht="16" customHeight="1">
      <c r="B39" t="s">
        <v>107</v>
      </c>
      <c r="C39" s="7" t="s">
        <v>59</v>
      </c>
      <c r="D39" t="s">
        <v>38</v>
      </c>
      <c r="F39" s="19"/>
    </row>
    <row r="40" spans="2:6" ht="16" customHeight="1">
      <c r="B40" t="s">
        <v>110</v>
      </c>
      <c r="C40" s="7" t="s">
        <v>59</v>
      </c>
      <c r="D40" t="s">
        <v>38</v>
      </c>
      <c r="F40" s="18"/>
    </row>
    <row r="41" spans="2:6" ht="16" customHeight="1">
      <c r="B41" s="6" t="s">
        <v>110</v>
      </c>
      <c r="C41" s="7" t="s">
        <v>59</v>
      </c>
      <c r="D41" t="s">
        <v>38</v>
      </c>
      <c r="F41" s="19"/>
    </row>
    <row r="42" spans="2:6" ht="16" customHeight="1">
      <c r="B42" s="6" t="s">
        <v>111</v>
      </c>
      <c r="C42" s="7" t="s">
        <v>22</v>
      </c>
      <c r="D42" t="s">
        <v>38</v>
      </c>
      <c r="F42" s="18"/>
    </row>
    <row r="43" spans="2:6" ht="16" customHeight="1">
      <c r="B43" s="6" t="s">
        <v>111</v>
      </c>
      <c r="C43" s="7" t="s">
        <v>22</v>
      </c>
      <c r="D43" t="s">
        <v>38</v>
      </c>
      <c r="F43" s="19"/>
    </row>
    <row r="44" spans="2:6" ht="16" customHeight="1">
      <c r="B44" s="6" t="s">
        <v>111</v>
      </c>
      <c r="C44" s="7" t="s">
        <v>22</v>
      </c>
      <c r="D44" t="s">
        <v>38</v>
      </c>
      <c r="F44" s="18"/>
    </row>
    <row r="45" spans="2:6" ht="16" customHeight="1">
      <c r="B45" s="6" t="s">
        <v>118</v>
      </c>
      <c r="C45" s="7" t="s">
        <v>52</v>
      </c>
      <c r="D45" t="s">
        <v>38</v>
      </c>
      <c r="F45" s="19"/>
    </row>
    <row r="46" spans="2:6" ht="16" customHeight="1">
      <c r="B46" s="6" t="s">
        <v>118</v>
      </c>
      <c r="C46" s="7" t="s">
        <v>52</v>
      </c>
      <c r="D46" t="s">
        <v>38</v>
      </c>
      <c r="F46" s="18"/>
    </row>
    <row r="47" spans="2:6" ht="16" customHeight="1">
      <c r="B47" t="s">
        <v>120</v>
      </c>
      <c r="C47" s="7" t="s">
        <v>52</v>
      </c>
      <c r="D47" t="s">
        <v>38</v>
      </c>
      <c r="F47" s="19"/>
    </row>
    <row r="48" spans="2:6" ht="16" customHeight="1">
      <c r="B48" t="s">
        <v>120</v>
      </c>
      <c r="C48" s="7" t="s">
        <v>59</v>
      </c>
      <c r="D48" t="s">
        <v>38</v>
      </c>
      <c r="F48" s="18"/>
    </row>
    <row r="49" spans="2:6" ht="16" customHeight="1">
      <c r="B49" t="s">
        <v>120</v>
      </c>
      <c r="C49" s="7" t="s">
        <v>59</v>
      </c>
      <c r="D49" t="s">
        <v>38</v>
      </c>
      <c r="F49" s="19"/>
    </row>
    <row r="50" spans="2:6" ht="16" customHeight="1">
      <c r="B50" t="s">
        <v>120</v>
      </c>
      <c r="C50" s="7" t="s">
        <v>59</v>
      </c>
      <c r="D50" t="s">
        <v>38</v>
      </c>
      <c r="F50" s="18"/>
    </row>
    <row r="51" spans="2:6" ht="16" customHeight="1">
      <c r="B51" t="s">
        <v>120</v>
      </c>
      <c r="C51" s="7" t="s">
        <v>59</v>
      </c>
      <c r="D51" t="s">
        <v>38</v>
      </c>
      <c r="F51" s="19"/>
    </row>
    <row r="52" spans="2:6" ht="16" customHeight="1">
      <c r="B52" t="s">
        <v>120</v>
      </c>
      <c r="C52" s="7" t="s">
        <v>59</v>
      </c>
      <c r="D52" t="s">
        <v>38</v>
      </c>
      <c r="F52" s="18"/>
    </row>
    <row r="53" spans="2:6" ht="16" customHeight="1">
      <c r="B53" t="s">
        <v>123</v>
      </c>
      <c r="C53" s="7" t="s">
        <v>59</v>
      </c>
      <c r="D53" t="s">
        <v>38</v>
      </c>
      <c r="F53" s="19"/>
    </row>
    <row r="54" spans="2:6" ht="16" customHeight="1">
      <c r="B54" t="s">
        <v>123</v>
      </c>
      <c r="C54" s="7" t="s">
        <v>59</v>
      </c>
      <c r="D54" t="s">
        <v>38</v>
      </c>
      <c r="F54" s="18"/>
    </row>
    <row r="55" spans="2:6" ht="16" customHeight="1">
      <c r="B55" t="s">
        <v>123</v>
      </c>
      <c r="C55" s="7" t="s">
        <v>59</v>
      </c>
      <c r="D55" t="s">
        <v>38</v>
      </c>
      <c r="F55" s="19"/>
    </row>
    <row r="56" spans="2:6" ht="16" customHeight="1">
      <c r="B56" t="s">
        <v>123</v>
      </c>
      <c r="C56" s="7" t="s">
        <v>59</v>
      </c>
      <c r="D56" t="s">
        <v>38</v>
      </c>
      <c r="F56" s="18"/>
    </row>
    <row r="57" spans="2:6" ht="16" customHeight="1">
      <c r="B57" t="s">
        <v>125</v>
      </c>
      <c r="C57" s="7" t="s">
        <v>52</v>
      </c>
      <c r="D57" t="s">
        <v>38</v>
      </c>
      <c r="F57" s="19"/>
    </row>
    <row r="58" spans="2:6" ht="16" customHeight="1">
      <c r="B58" t="s">
        <v>125</v>
      </c>
      <c r="C58" s="7" t="s">
        <v>52</v>
      </c>
      <c r="D58" t="s">
        <v>38</v>
      </c>
      <c r="F58" s="18"/>
    </row>
    <row r="59" spans="2:6" ht="16" customHeight="1">
      <c r="B59" t="s">
        <v>128</v>
      </c>
      <c r="C59" s="7" t="s">
        <v>52</v>
      </c>
      <c r="D59" t="s">
        <v>23</v>
      </c>
      <c r="F59" s="19"/>
    </row>
    <row r="60" spans="2:6" ht="16" customHeight="1">
      <c r="B60" t="s">
        <v>128</v>
      </c>
      <c r="C60" s="7" t="s">
        <v>52</v>
      </c>
      <c r="D60" t="s">
        <v>23</v>
      </c>
      <c r="F60" s="18"/>
    </row>
    <row r="61" spans="2:6" ht="16" customHeight="1">
      <c r="B61" t="s">
        <v>131</v>
      </c>
      <c r="C61" s="7" t="s">
        <v>59</v>
      </c>
      <c r="D61" t="s">
        <v>38</v>
      </c>
      <c r="F61" s="19"/>
    </row>
    <row r="62" spans="2:6" ht="16" customHeight="1">
      <c r="B62" t="s">
        <v>131</v>
      </c>
      <c r="C62" s="7" t="s">
        <v>59</v>
      </c>
      <c r="D62" t="s">
        <v>38</v>
      </c>
      <c r="F62" s="18"/>
    </row>
    <row r="63" spans="2:6" ht="16" customHeight="1">
      <c r="B63" t="s">
        <v>131</v>
      </c>
      <c r="C63" s="7" t="s">
        <v>52</v>
      </c>
      <c r="D63" t="s">
        <v>38</v>
      </c>
      <c r="F63" s="19"/>
    </row>
    <row r="64" spans="2:6" ht="16" customHeight="1">
      <c r="B64" t="s">
        <v>131</v>
      </c>
      <c r="C64" s="7" t="s">
        <v>59</v>
      </c>
      <c r="D64" t="s">
        <v>38</v>
      </c>
      <c r="F64" s="18"/>
    </row>
    <row r="65" spans="2:6" ht="16" customHeight="1">
      <c r="B65" t="s">
        <v>132</v>
      </c>
      <c r="C65" s="7" t="s">
        <v>52</v>
      </c>
      <c r="D65" t="s">
        <v>38</v>
      </c>
      <c r="F65" s="19"/>
    </row>
    <row r="66" spans="2:6" ht="16" customHeight="1">
      <c r="B66" t="s">
        <v>134</v>
      </c>
      <c r="C66" s="7" t="s">
        <v>52</v>
      </c>
      <c r="D66" t="s">
        <v>53</v>
      </c>
      <c r="F66" s="18"/>
    </row>
    <row r="67" spans="2:6" ht="16" customHeight="1">
      <c r="B67" t="s">
        <v>134</v>
      </c>
      <c r="C67" s="7" t="s">
        <v>59</v>
      </c>
      <c r="D67" t="s">
        <v>53</v>
      </c>
      <c r="F67" s="19"/>
    </row>
    <row r="68" spans="2:6" ht="16" customHeight="1">
      <c r="B68" t="s">
        <v>139</v>
      </c>
      <c r="C68" s="7" t="s">
        <v>59</v>
      </c>
      <c r="D68" t="s">
        <v>38</v>
      </c>
      <c r="F68" s="18"/>
    </row>
    <row r="69" spans="2:6" ht="16" customHeight="1">
      <c r="B69" t="s">
        <v>139</v>
      </c>
      <c r="C69" s="7" t="s">
        <v>59</v>
      </c>
      <c r="D69" t="s">
        <v>38</v>
      </c>
      <c r="F69" s="19"/>
    </row>
    <row r="70" spans="2:6" ht="34" customHeight="1">
      <c r="B70" t="s">
        <v>141</v>
      </c>
      <c r="C70" s="7" t="s">
        <v>52</v>
      </c>
      <c r="D70" t="s">
        <v>29</v>
      </c>
      <c r="F70" s="18"/>
    </row>
    <row r="71" spans="2:6" ht="16" customHeight="1">
      <c r="B71" t="s">
        <v>144</v>
      </c>
      <c r="D71" t="s">
        <v>23</v>
      </c>
      <c r="F71" s="19"/>
    </row>
    <row r="72" spans="2:6" ht="16" customHeight="1">
      <c r="B72" t="s">
        <v>145</v>
      </c>
      <c r="C72" s="7" t="s">
        <v>22</v>
      </c>
      <c r="D72" t="s">
        <v>38</v>
      </c>
      <c r="F72" s="18"/>
    </row>
    <row r="73" spans="2:6" ht="16" customHeight="1">
      <c r="B73" t="s">
        <v>147</v>
      </c>
      <c r="C73" s="7" t="s">
        <v>22</v>
      </c>
      <c r="D73" t="s">
        <v>53</v>
      </c>
      <c r="F73" s="19"/>
    </row>
    <row r="74" spans="2:6" ht="16" customHeight="1">
      <c r="B74" t="s">
        <v>148</v>
      </c>
      <c r="C74" s="7" t="s">
        <v>22</v>
      </c>
      <c r="D74" t="s">
        <v>53</v>
      </c>
      <c r="F74" s="18"/>
    </row>
    <row r="75" spans="2:6" ht="16" customHeight="1">
      <c r="B75" t="s">
        <v>148</v>
      </c>
      <c r="C75" s="7" t="s">
        <v>22</v>
      </c>
      <c r="D75" t="s">
        <v>53</v>
      </c>
      <c r="F75" s="19"/>
    </row>
    <row r="76" spans="2:6" ht="16" customHeight="1">
      <c r="B76" t="s">
        <v>148</v>
      </c>
      <c r="C76" s="7" t="s">
        <v>22</v>
      </c>
      <c r="D76" t="s">
        <v>53</v>
      </c>
      <c r="F76" s="18"/>
    </row>
    <row r="77" spans="2:6" ht="16" customHeight="1">
      <c r="B77" t="s">
        <v>148</v>
      </c>
      <c r="C77" s="7" t="s">
        <v>22</v>
      </c>
      <c r="D77" t="s">
        <v>53</v>
      </c>
      <c r="F77" s="19"/>
    </row>
    <row r="78" spans="2:6" ht="16" customHeight="1">
      <c r="B78" t="s">
        <v>148</v>
      </c>
      <c r="C78" s="7" t="s">
        <v>22</v>
      </c>
      <c r="D78" t="s">
        <v>53</v>
      </c>
      <c r="F78" s="18"/>
    </row>
    <row r="79" spans="2:6" ht="16" customHeight="1">
      <c r="B79" t="s">
        <v>148</v>
      </c>
      <c r="C79" s="7" t="s">
        <v>22</v>
      </c>
      <c r="D79" t="s">
        <v>53</v>
      </c>
      <c r="F79" s="19"/>
    </row>
    <row r="80" spans="2:6" ht="16" customHeight="1">
      <c r="B80" t="s">
        <v>148</v>
      </c>
      <c r="C80" s="7" t="s">
        <v>22</v>
      </c>
      <c r="D80" t="s">
        <v>53</v>
      </c>
      <c r="F80" s="18"/>
    </row>
    <row r="81" spans="1:6" ht="16" customHeight="1">
      <c r="B81" t="s">
        <v>148</v>
      </c>
      <c r="C81" s="7" t="s">
        <v>22</v>
      </c>
      <c r="D81" t="s">
        <v>53</v>
      </c>
      <c r="F81" s="19"/>
    </row>
    <row r="82" spans="1:6" ht="16" customHeight="1">
      <c r="B82" t="s">
        <v>148</v>
      </c>
      <c r="C82" s="7" t="s">
        <v>22</v>
      </c>
      <c r="D82" t="s">
        <v>53</v>
      </c>
      <c r="F82" s="18"/>
    </row>
    <row r="83" spans="1:6" ht="16" customHeight="1">
      <c r="B83" t="s">
        <v>148</v>
      </c>
      <c r="C83" s="7" t="s">
        <v>22</v>
      </c>
      <c r="D83" t="s">
        <v>53</v>
      </c>
      <c r="F83" s="19"/>
    </row>
    <row r="84" spans="1:6" ht="238" customHeight="1">
      <c r="B84" t="s">
        <v>151</v>
      </c>
      <c r="C84" s="7" t="s">
        <v>22</v>
      </c>
      <c r="D84" t="s">
        <v>23</v>
      </c>
      <c r="F84" s="18"/>
    </row>
    <row r="85" spans="1:6" ht="289" customHeight="1">
      <c r="B85" t="s">
        <v>153</v>
      </c>
      <c r="C85" s="7" t="s">
        <v>22</v>
      </c>
      <c r="D85" t="s">
        <v>38</v>
      </c>
      <c r="F85" s="19"/>
    </row>
    <row r="86" spans="1:6" ht="16" customHeight="1">
      <c r="B86" t="s">
        <v>155</v>
      </c>
      <c r="C86" s="7" t="s">
        <v>22</v>
      </c>
      <c r="D86" t="s">
        <v>53</v>
      </c>
      <c r="F86" s="18"/>
    </row>
    <row r="87" spans="1:6" ht="34" customHeight="1">
      <c r="A87" s="12"/>
      <c r="B87" s="12" t="s">
        <v>156</v>
      </c>
      <c r="D87" s="12" t="s">
        <v>29</v>
      </c>
      <c r="E87" s="12"/>
      <c r="F87" s="20"/>
    </row>
    <row r="88" spans="1:6" ht="34" customHeight="1">
      <c r="A88" s="12"/>
      <c r="B88" s="12" t="s">
        <v>156</v>
      </c>
      <c r="C88" s="7" t="s">
        <v>22</v>
      </c>
      <c r="D88" s="12" t="s">
        <v>29</v>
      </c>
      <c r="E88" s="12"/>
      <c r="F88" s="21"/>
    </row>
    <row r="89" spans="1:6" ht="34" customHeight="1">
      <c r="A89" s="12"/>
      <c r="B89" s="12" t="s">
        <v>161</v>
      </c>
      <c r="D89" s="12" t="s">
        <v>29</v>
      </c>
      <c r="E89" s="12"/>
      <c r="F89" s="20"/>
    </row>
    <row r="90" spans="1:6" ht="34" customHeight="1">
      <c r="A90" s="12"/>
      <c r="B90" s="12" t="s">
        <v>161</v>
      </c>
      <c r="D90" s="12" t="s">
        <v>29</v>
      </c>
      <c r="E90" s="12"/>
      <c r="F90" s="21"/>
    </row>
    <row r="91" spans="1:6" ht="34" customHeight="1">
      <c r="A91" s="12"/>
      <c r="B91" s="12" t="s">
        <v>161</v>
      </c>
      <c r="D91" s="12" t="s">
        <v>29</v>
      </c>
      <c r="E91" s="12"/>
      <c r="F91" s="20"/>
    </row>
    <row r="92" spans="1:6" ht="34" customHeight="1">
      <c r="A92" s="12"/>
      <c r="B92" s="12" t="s">
        <v>164</v>
      </c>
      <c r="D92" s="12" t="s">
        <v>29</v>
      </c>
      <c r="E92" s="12"/>
      <c r="F92" s="21"/>
    </row>
    <row r="93" spans="1:6" ht="15" customHeight="1">
      <c r="B93" t="s">
        <v>166</v>
      </c>
      <c r="D93" t="s">
        <v>29</v>
      </c>
      <c r="F93" s="19"/>
    </row>
    <row r="94" spans="1:6" ht="30" customHeight="1">
      <c r="B94" t="s">
        <v>168</v>
      </c>
      <c r="D94" t="s">
        <v>29</v>
      </c>
      <c r="F94" s="18"/>
    </row>
    <row r="95" spans="1:6" ht="31.5" customHeight="1">
      <c r="B95" t="s">
        <v>170</v>
      </c>
      <c r="D95" t="s">
        <v>29</v>
      </c>
      <c r="F95" s="19"/>
    </row>
    <row r="96" spans="1:6" ht="17">
      <c r="B96" s="11" t="s">
        <v>172</v>
      </c>
      <c r="C96" s="7" t="s">
        <v>22</v>
      </c>
      <c r="F96" s="18"/>
    </row>
    <row r="97" spans="2:6" ht="17">
      <c r="B97" s="11" t="s">
        <v>175</v>
      </c>
      <c r="C97" s="7" t="s">
        <v>22</v>
      </c>
      <c r="F97" s="19"/>
    </row>
    <row r="98" spans="2:6" ht="17">
      <c r="B98" s="11" t="s">
        <v>177</v>
      </c>
      <c r="C98" s="7" t="s">
        <v>22</v>
      </c>
      <c r="D98" t="s">
        <v>38</v>
      </c>
      <c r="F98" s="18"/>
    </row>
    <row r="99" spans="2:6" ht="17">
      <c r="B99" s="11" t="s">
        <v>179</v>
      </c>
      <c r="C99" s="7" t="s">
        <v>22</v>
      </c>
      <c r="D99" t="s">
        <v>38</v>
      </c>
      <c r="F99" s="19"/>
    </row>
    <row r="100" spans="2:6" ht="17">
      <c r="B100" s="11" t="s">
        <v>182</v>
      </c>
      <c r="C100" s="7" t="s">
        <v>22</v>
      </c>
      <c r="D100" t="s">
        <v>38</v>
      </c>
      <c r="F100" s="18"/>
    </row>
    <row r="101" spans="2:6" ht="17">
      <c r="B101" s="11" t="s">
        <v>184</v>
      </c>
      <c r="C101" s="7" t="s">
        <v>22</v>
      </c>
      <c r="F101" s="19"/>
    </row>
    <row r="102" spans="2:6" ht="17">
      <c r="B102" s="11" t="s">
        <v>186</v>
      </c>
      <c r="C102" s="7" t="s">
        <v>22</v>
      </c>
      <c r="D102" t="s">
        <v>38</v>
      </c>
      <c r="F102" s="18"/>
    </row>
    <row r="103" spans="2:6" ht="17">
      <c r="B103" s="11" t="s">
        <v>188</v>
      </c>
      <c r="C103" s="7" t="s">
        <v>22</v>
      </c>
      <c r="F103" s="19"/>
    </row>
    <row r="104" spans="2:6" ht="17">
      <c r="B104" s="11" t="s">
        <v>191</v>
      </c>
      <c r="C104" s="7" t="s">
        <v>22</v>
      </c>
      <c r="D104" t="s">
        <v>38</v>
      </c>
      <c r="F104" s="18"/>
    </row>
    <row r="105" spans="2:6" ht="17">
      <c r="B105" s="11" t="s">
        <v>194</v>
      </c>
      <c r="C105" s="7" t="s">
        <v>22</v>
      </c>
      <c r="F105" s="19"/>
    </row>
    <row r="106" spans="2:6" ht="17">
      <c r="B106" s="11" t="s">
        <v>196</v>
      </c>
      <c r="C106" s="7" t="s">
        <v>22</v>
      </c>
      <c r="F106" s="18"/>
    </row>
    <row r="107" spans="2:6" ht="34">
      <c r="B107" s="11" t="s">
        <v>198</v>
      </c>
      <c r="C107" s="7" t="s">
        <v>22</v>
      </c>
      <c r="F107" s="19"/>
    </row>
    <row r="108" spans="2:6" ht="34">
      <c r="B108" s="11" t="s">
        <v>201</v>
      </c>
      <c r="C108" s="7" t="s">
        <v>22</v>
      </c>
      <c r="F108" s="18"/>
    </row>
    <row r="109" spans="2:6" ht="16">
      <c r="B109" t="s">
        <v>204</v>
      </c>
      <c r="F109" s="19"/>
    </row>
    <row r="110" spans="2:6" ht="16">
      <c r="B110" t="s">
        <v>206</v>
      </c>
      <c r="F110" s="18"/>
    </row>
    <row r="111" spans="2:6" ht="16">
      <c r="B111" t="s">
        <v>208</v>
      </c>
      <c r="F111" s="19"/>
    </row>
    <row r="112" spans="2:6" ht="16">
      <c r="B112" t="s">
        <v>209</v>
      </c>
      <c r="F112" s="18"/>
    </row>
    <row r="113" spans="2:6" ht="16">
      <c r="B113" t="s">
        <v>210</v>
      </c>
      <c r="F113" s="19"/>
    </row>
    <row r="114" spans="2:6" ht="16">
      <c r="B114" t="s">
        <v>212</v>
      </c>
      <c r="F114" s="18"/>
    </row>
    <row r="115" spans="2:6" ht="16">
      <c r="B115" t="s">
        <v>214</v>
      </c>
      <c r="F115" s="19"/>
    </row>
    <row r="116" spans="2:6" ht="16">
      <c r="B116" t="s">
        <v>216</v>
      </c>
      <c r="F116" s="18"/>
    </row>
    <row r="117" spans="2:6" ht="16">
      <c r="B117" t="s">
        <v>218</v>
      </c>
      <c r="F117" s="19"/>
    </row>
    <row r="118" spans="2:6" ht="16">
      <c r="B118" t="s">
        <v>147</v>
      </c>
      <c r="F118" s="18"/>
    </row>
    <row r="119" spans="2:6" ht="16">
      <c r="B119" t="s">
        <v>147</v>
      </c>
      <c r="F119" s="19"/>
    </row>
    <row r="120" spans="2:6" ht="16">
      <c r="B120" t="s">
        <v>221</v>
      </c>
      <c r="C120" s="7" t="s">
        <v>22</v>
      </c>
      <c r="D120" t="s">
        <v>38</v>
      </c>
      <c r="F120" s="18"/>
    </row>
    <row r="121" spans="2:6" ht="16">
      <c r="B121" t="s">
        <v>223</v>
      </c>
      <c r="C121" s="7" t="s">
        <v>22</v>
      </c>
      <c r="D121" t="s">
        <v>38</v>
      </c>
      <c r="F121" s="19"/>
    </row>
    <row r="122" spans="2:6" ht="16">
      <c r="B122" t="s">
        <v>225</v>
      </c>
      <c r="F122" s="18"/>
    </row>
    <row r="123" spans="2:6" ht="17">
      <c r="B123" s="11" t="s">
        <v>227</v>
      </c>
      <c r="C123" s="7" t="s">
        <v>22</v>
      </c>
      <c r="F123" s="19"/>
    </row>
    <row r="124" spans="2:6" ht="16">
      <c r="B124" t="s">
        <v>227</v>
      </c>
      <c r="F124" s="18"/>
    </row>
    <row r="125" spans="2:6" ht="16">
      <c r="B125" t="s">
        <v>231</v>
      </c>
      <c r="F125" s="19"/>
    </row>
    <row r="126" spans="2:6" ht="17">
      <c r="B126" s="11" t="s">
        <v>234</v>
      </c>
      <c r="C126" s="7" t="s">
        <v>22</v>
      </c>
      <c r="F126" s="18"/>
    </row>
    <row r="127" spans="2:6" ht="17">
      <c r="B127" s="11" t="s">
        <v>237</v>
      </c>
      <c r="C127" s="7" t="s">
        <v>22</v>
      </c>
      <c r="F127" s="19"/>
    </row>
    <row r="128" spans="2:6" ht="16">
      <c r="B128" t="s">
        <v>239</v>
      </c>
      <c r="C128" s="7" t="s">
        <v>22</v>
      </c>
      <c r="D128" t="s">
        <v>38</v>
      </c>
      <c r="F128" s="18"/>
    </row>
    <row r="129" spans="2:6" ht="17">
      <c r="B129" s="11" t="s">
        <v>240</v>
      </c>
      <c r="C129" s="7" t="s">
        <v>22</v>
      </c>
      <c r="F129" s="19"/>
    </row>
    <row r="130" spans="2:6" ht="16">
      <c r="B130" t="s">
        <v>242</v>
      </c>
      <c r="C130" s="7" t="s">
        <v>22</v>
      </c>
      <c r="D130" t="s">
        <v>38</v>
      </c>
      <c r="F130" s="18"/>
    </row>
    <row r="131" spans="2:6" ht="16">
      <c r="B131" t="s">
        <v>243</v>
      </c>
      <c r="C131" s="7" t="s">
        <v>22</v>
      </c>
      <c r="D131" t="s">
        <v>38</v>
      </c>
      <c r="F131" s="19"/>
    </row>
    <row r="132" spans="2:6" ht="16">
      <c r="B132" t="s">
        <v>97</v>
      </c>
      <c r="F132" s="18"/>
    </row>
    <row r="133" spans="2:6" ht="34">
      <c r="B133" s="11" t="s">
        <v>246</v>
      </c>
      <c r="C133" s="7" t="s">
        <v>22</v>
      </c>
      <c r="F133" s="19"/>
    </row>
    <row r="134" spans="2:6" ht="16">
      <c r="B134" t="s">
        <v>249</v>
      </c>
      <c r="F134" s="18"/>
    </row>
    <row r="135" spans="2:6" ht="17">
      <c r="B135" s="11" t="s">
        <v>250</v>
      </c>
      <c r="C135" s="7" t="s">
        <v>22</v>
      </c>
      <c r="D135" t="s">
        <v>38</v>
      </c>
      <c r="F135" s="19"/>
    </row>
    <row r="136" spans="2:6" ht="17">
      <c r="B136" s="11" t="s">
        <v>253</v>
      </c>
      <c r="C136" s="7" t="s">
        <v>22</v>
      </c>
      <c r="F136" s="18"/>
    </row>
    <row r="137" spans="2:6" ht="16">
      <c r="B137" t="s">
        <v>255</v>
      </c>
      <c r="D137" t="s">
        <v>29</v>
      </c>
      <c r="F137" s="19"/>
    </row>
    <row r="138" spans="2:6" ht="16">
      <c r="B138" t="s">
        <v>258</v>
      </c>
      <c r="D138" t="s">
        <v>29</v>
      </c>
      <c r="F138" s="18"/>
    </row>
    <row r="139" spans="2:6" ht="16">
      <c r="B139" t="s">
        <v>260</v>
      </c>
      <c r="D139" t="s">
        <v>53</v>
      </c>
      <c r="F139" s="19"/>
    </row>
    <row r="140" spans="2:6" ht="16">
      <c r="B140" t="s">
        <v>262</v>
      </c>
      <c r="D140" t="s">
        <v>29</v>
      </c>
      <c r="F140" s="18"/>
    </row>
    <row r="141" spans="2:6" ht="17">
      <c r="B141" s="11" t="s">
        <v>263</v>
      </c>
      <c r="C141" s="7" t="s">
        <v>22</v>
      </c>
      <c r="D141" t="s">
        <v>53</v>
      </c>
      <c r="F141" s="19"/>
    </row>
    <row r="142" spans="2:6" ht="16">
      <c r="B142" t="s">
        <v>234</v>
      </c>
      <c r="D142" t="s">
        <v>29</v>
      </c>
      <c r="F142" s="18"/>
    </row>
    <row r="143" spans="2:6" ht="16">
      <c r="B143" t="s">
        <v>266</v>
      </c>
      <c r="F143" s="19"/>
    </row>
    <row r="144" spans="2:6" ht="16">
      <c r="B144" t="s">
        <v>267</v>
      </c>
      <c r="D144" t="s">
        <v>29</v>
      </c>
      <c r="F144" s="18"/>
    </row>
    <row r="145" spans="2:6" ht="17">
      <c r="B145" s="11" t="s">
        <v>270</v>
      </c>
      <c r="C145" s="7" t="s">
        <v>22</v>
      </c>
      <c r="D145" t="s">
        <v>53</v>
      </c>
      <c r="F145" s="19"/>
    </row>
    <row r="146" spans="2:6" ht="17">
      <c r="B146" s="11" t="s">
        <v>273</v>
      </c>
      <c r="C146" s="7" t="s">
        <v>22</v>
      </c>
      <c r="D146" t="s">
        <v>53</v>
      </c>
      <c r="F146" s="18"/>
    </row>
  </sheetData>
  <conditionalFormatting sqref="C2:C1048576">
    <cfRule type="containsText" dxfId="2" priority="1" operator="containsText" text="None">
      <formula>NOT(ISERROR(SEARCH("None",C2)))</formula>
    </cfRule>
    <cfRule type="containsText" dxfId="1" priority="2" operator="containsText" text="High">
      <formula>NOT(ISERROR(SEARCH("High",C2)))</formula>
    </cfRule>
  </conditionalFormatting>
  <dataValidations count="3">
    <dataValidation type="list" allowBlank="1" showInputMessage="1" showErrorMessage="1" sqref="D2:D1048576" xr:uid="{5420395B-9EE7-9249-80EE-47A699BB7758}">
      <formula1>INDIRECT("RefValues[cust_segment]")</formula1>
    </dataValidation>
    <dataValidation type="list" allowBlank="1" showInputMessage="1" showErrorMessage="1" sqref="C2:C1048576" xr:uid="{D4E7B382-CD48-794B-A917-628DAFE64E5E}">
      <formula1>INDIRECT("RefValues[priority]")</formula1>
    </dataValidation>
    <dataValidation type="list" allowBlank="1" showInputMessage="1" showErrorMessage="1" sqref="A2:A1048576 E2:F1048576" xr:uid="{21BE648C-E496-644D-9CEC-61C6184268D4}">
      <formula1>INDIRECT("RefValues[tech]")</formula1>
    </dataValidation>
  </dataValidations>
  <pageMargins left="0.7" right="0.7" top="0.75" bottom="0.75" header="0.3" footer="0.3"/>
  <headerFooter>
    <oddFooter>&amp;R&amp;"Aptos"&amp;8 &amp;K000000_x000D_# Cisco Confidential_x000D_&amp;1#&amp;"Aptos"&amp;8&amp;K000000 Cisco Confidential</oddFooter>
  </headerFooter>
  <tableParts count="1">
    <tablePart r:id="rId1"/>
  </tableParts>
</worksheet>
</file>

<file path=docMetadata/LabelInfo.xml><?xml version="1.0" encoding="utf-8"?>
<clbl:labelList xmlns:clbl="http://schemas.microsoft.com/office/2020/mipLabelMetadata">
  <clbl:label id="{c8f49a32-fde3-48a5-9266-b5b0972a22dc}" enabled="1" method="Privilege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as-Code Active Customers</vt:lpstr>
      <vt:lpstr>ref_values</vt:lpstr>
      <vt:lpstr>Active Customer PID_Alignment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Dhrumil Prajapati (dhprajap)</dc:creator>
  <cp:lastModifiedBy>Mike Brown (michabr4)</cp:lastModifiedBy>
  <dcterms:created xsi:type="dcterms:W3CDTF">2025-11-10T15:13:45Z</dcterms:created>
  <dcterms:modified xsi:type="dcterms:W3CDTF">2026-04-24T20:34:54Z</dcterms:modified>
</cp:coreProperties>
</file>