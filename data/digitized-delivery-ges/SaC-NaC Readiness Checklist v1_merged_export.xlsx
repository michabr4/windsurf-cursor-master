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840" yWindow="620" windowWidth="37960" windowHeight="19960" tabRatio="600" firstSheet="0" activeTab="0" autoFilterDateGrouping="1"/>
  </bookViews>
  <sheets>
    <sheet name="as-code score" sheetId="1" state="visible" r:id="rId1"/>
    <sheet name="Pivot_Analytics" sheetId="2" state="visible" r:id="rId2"/>
    <sheet name="ref_values" sheetId="3" state="visible" r:id="rId3"/>
  </sheets>
  <definedNames/>
  <calcPr calcId="191028" fullCalcOnLoad="1"/>
  <pivotCaches>
    <pivotCache cacheId="1" r:id="rId4"/>
  </pivotCaches>
</workbook>
</file>

<file path=xl/styles.xml><?xml version="1.0" encoding="utf-8"?>
<styleSheet xmlns="http://schemas.openxmlformats.org/spreadsheetml/2006/main">
  <numFmts count="1">
    <numFmt numFmtId="164" formatCode="0.0"/>
  </numFmts>
  <fonts count="8">
    <font>
      <name val="CiscoSansTTLight"/>
      <family val="2"/>
      <color theme="1"/>
      <sz val="12"/>
    </font>
    <font>
      <name val="CiscoSansTT"/>
      <family val="2"/>
      <b val="1"/>
      <color theme="0"/>
      <sz val="12"/>
    </font>
    <font>
      <name val="CiscoSansTTLight"/>
      <family val="2"/>
      <sz val="8"/>
    </font>
    <font>
      <name val="CiscoSansTTLight"/>
      <family val="2"/>
      <sz val="12"/>
    </font>
    <font>
      <name val="CiscoSansTTLight"/>
      <color rgb="FFFF0000"/>
      <sz val="12"/>
    </font>
    <font>
      <name val="CiscoSansTTLight"/>
      <family val="2"/>
      <color rgb="FFFF0000"/>
      <sz val="12"/>
    </font>
    <font>
      <name val="CiscoSansTT Light"/>
      <family val="2"/>
      <color theme="1"/>
      <sz val="12"/>
    </font>
    <font>
      <name val="CiscoSansTTLight"/>
      <family val="2"/>
      <color theme="1"/>
      <sz val="12"/>
    </font>
  </fonts>
  <fills count="5">
    <fill>
      <patternFill/>
    </fill>
    <fill>
      <patternFill patternType="gray125"/>
    </fill>
    <fill>
      <patternFill patternType="solid">
        <fgColor theme="7"/>
        <bgColor indexed="64"/>
      </patternFill>
    </fill>
    <fill>
      <patternFill patternType="solid">
        <fgColor rgb="FF002060"/>
        <bgColor indexed="64"/>
      </patternFill>
    </fill>
    <fill>
      <patternFill patternType="solid">
        <fgColor rgb="FFFFFF00"/>
        <bgColor indexed="64"/>
      </patternFill>
    </fill>
  </fills>
  <borders count="1">
    <border>
      <left/>
      <right/>
      <top/>
      <bottom/>
      <diagonal/>
    </border>
  </borders>
  <cellStyleXfs count="2">
    <xf numFmtId="0" fontId="7" fillId="0" borderId="0"/>
    <xf numFmtId="9" fontId="7" fillId="0" borderId="0"/>
  </cellStyleXfs>
  <cellXfs count="18">
    <xf numFmtId="0" fontId="0" fillId="0" borderId="0" pivotButton="0" quotePrefix="0" xfId="0"/>
    <xf numFmtId="0" fontId="0" fillId="0" borderId="0" applyAlignment="1" pivotButton="0" quotePrefix="0" xfId="0">
      <alignment horizontal="center" vertical="center" wrapText="1"/>
    </xf>
    <xf numFmtId="0" fontId="1" fillId="2" borderId="0" applyAlignment="1" pivotButton="0" quotePrefix="0" xfId="0">
      <alignment horizontal="center" vertical="center" wrapText="1"/>
    </xf>
    <xf numFmtId="1" fontId="0" fillId="0" borderId="0" pivotButton="0" quotePrefix="0" xfId="0"/>
    <xf numFmtId="164" fontId="1" fillId="3" borderId="0" applyAlignment="1" pivotButton="0" quotePrefix="0" xfId="0">
      <alignment horizontal="center" vertical="center" wrapText="1"/>
    </xf>
    <xf numFmtId="164" fontId="0"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0" fontId="0" fillId="4"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wrapText="1"/>
    </xf>
    <xf numFmtId="0" fontId="6" fillId="0" borderId="0" pivotButton="0" quotePrefix="0" xfId="0"/>
    <xf numFmtId="9" fontId="1" fillId="2" borderId="0" applyAlignment="1" pivotButton="0" quotePrefix="0" xfId="1">
      <alignment horizontal="center" vertical="center" wrapText="1"/>
    </xf>
    <xf numFmtId="9" fontId="0" fillId="0" borderId="0" pivotButton="0" quotePrefix="0" xfId="1"/>
    <xf numFmtId="9" fontId="0" fillId="4" borderId="0" pivotButton="0" quotePrefix="0" xfId="1"/>
    <xf numFmtId="49" fontId="0" fillId="0" borderId="0" pivotButton="0" quotePrefix="0" xfId="0"/>
    <xf numFmtId="9" fontId="0" fillId="0" borderId="0" pivotButton="0" quotePrefix="0" xfId="0"/>
  </cellXfs>
  <cellStyles count="2">
    <cellStyle name="Normal" xfId="0" builtinId="0"/>
    <cellStyle name="Percent" xfId="1" builtinId="5"/>
  </cellStyles>
  <dxfs count="7">
    <dxf>
      <font>
        <color theme="0"/>
      </font>
      <fill>
        <patternFill>
          <bgColor theme="6"/>
        </patternFill>
      </fill>
    </dxf>
    <dxf>
      <font>
        <color theme="0"/>
      </font>
      <fill>
        <patternFill>
          <bgColor rgb="FFFF0000"/>
        </patternFill>
      </fill>
    </dxf>
    <dxf>
      <numFmt numFmtId="1" formatCode="0"/>
    </dxf>
    <dxf>
      <font>
        <name val="CiscoSansTT"/>
        <family val="2"/>
        <b val="1"/>
        <strike val="0"/>
        <outline val="0"/>
        <shadow val="0"/>
        <condense val="0"/>
        <color theme="0"/>
        <extend val="0"/>
        <sz val="12"/>
        <vertAlign val="baseline"/>
      </font>
      <fill>
        <patternFill patternType="solid">
          <fgColor indexed="64"/>
          <bgColor theme="7"/>
        </patternFill>
      </fill>
      <alignment horizontal="center" vertical="center" wrapText="1"/>
    </dxf>
    <dxf>
      <numFmt numFmtId="164" formatCode="0.0"/>
      <alignment horizontal="center"/>
    </dxf>
    <dxf>
      <font>
        <name val="CiscoSansTTLight"/>
        <family val="2"/>
        <strike val="0"/>
        <outline val="0"/>
        <shadow val="0"/>
        <color auto="1"/>
        <sz val="12"/>
        <vertAlign val="baseline"/>
      </font>
      <alignment horizontal="center"/>
    </dxf>
    <dxf>
      <font>
        <name val="CiscoSansTT"/>
        <family val="2"/>
        <b val="1"/>
        <strike val="0"/>
        <outline val="0"/>
        <shadow val="0"/>
        <condense val="0"/>
        <color theme="0"/>
        <extend val="0"/>
        <sz val="12"/>
        <vertAlign val="baseline"/>
      </font>
      <fill>
        <patternFill patternType="solid">
          <fgColor indexed="64"/>
          <bgColor theme="7"/>
        </patternFill>
      </fill>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pivotCacheDefinition" Target="/xl/pivotCache/pivotCacheDefinition2.xml" Id="rId4" /><Relationship Type="http://schemas.openxmlformats.org/officeDocument/2006/relationships/styles" Target="styles.xml" Id="rId5" /><Relationship Type="http://schemas.openxmlformats.org/officeDocument/2006/relationships/theme" Target="theme/theme1.xml" Id="rId6"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saveData="0" refreshOnLoad="1" recordCount="0" r:id="rId1">
  <cacheSource type="worksheet">
    <worksheetSource ref="A1:U1079" sheet="as-code score"/>
  </cacheSource>
  <cacheFields count="21">
    <cacheField name="Customer Name" uniqueList="1" sqlType="0" hierarchy="0" level="0" databaseField="1"/>
    <cacheField name="Priority" uniqueList="1" sqlType="0" hierarchy="0" level="0" databaseField="1"/>
    <cacheField name="Customer Segment" uniqueList="1" sqlType="0" hierarchy="0" level="0" databaseField="1"/>
    <cacheField name="Technologies" uniqueList="1" sqlType="0" hierarchy="0" level="0" databaseField="1"/>
    <cacheField name="Existing Services" uniqueList="1" sqlType="0" hierarchy="0" level="0" databaseField="1"/>
    <cacheField name="Approximate Deal Size" uniqueList="1" sqlType="0" hierarchy="0" level="0" databaseField="1"/>
    <cacheField name="Customer Network Access" uniqueList="1" sqlType="0" hierarchy="0" level="0" databaseField="1"/>
    <cacheField name="Start Date" uniqueList="1" sqlType="0" hierarchy="0" level="0" databaseField="1"/>
    <cacheField name="Implementation Team" uniqueList="1" sqlType="0" hierarchy="0" level="0" databaseField="1"/>
    <cacheField name="NaC Score" uniqueList="1" sqlType="0" hierarchy="0" level="0" databaseField="1"/>
    <cacheField name="Architecture CDA/CE" uniqueList="1" sqlType="0" hierarchy="0" level="0" databaseField="1"/>
    <cacheField name="Theater CDA" uniqueList="1" sqlType="0" hierarchy="0" level="0" databaseField="1"/>
    <cacheField name="Theater CDA Leader" uniqueList="1" sqlType="0" hierarchy="0" level="0" databaseField="1"/>
    <cacheField name="NaC Parity Reviewer" uniqueList="1" sqlType="0" hierarchy="0" level="0" databaseField="1"/>
    <cacheField name="NaC Parity Complete" uniqueList="1" sqlType="0" hierarchy="0" level="0" databaseField="1"/>
    <cacheField name="NaC Parity Comments" uniqueList="1" sqlType="0" hierarchy="0" level="0" databaseField="1"/>
    <cacheField name="NaC Parity %" uniqueList="1" sqlType="0" hierarchy="0" level="0" databaseField="1"/>
    <cacheField name="Next Steps" uniqueList="1" sqlType="0" hierarchy="0" level="0" databaseField="1"/>
    <cacheField name="Status / Comments" uniqueList="1" sqlType="0" hierarchy="0" level="0" databaseField="1"/>
    <cacheField name="Headwinds" uniqueList="1" sqlType="0" hierarchy="0" level="0" databaseField="1"/>
    <cacheField name="Client ready for as code" uniqueList="1" sqlType="0" hierarchy="0" level="0" databaseField="1"/>
  </cacheFields>
</pivotCacheDefinition>
</file>

<file path=xl/pivotCache/pivotCacheDefinition2.xml><?xml version="1.0" encoding="utf-8"?>
<pivotCacheDefinition xmlns:r="http://schemas.openxmlformats.org/officeDocument/2006/relationships" xmlns="http://schemas.openxmlformats.org/spreadsheetml/2006/main" saveData="0" refreshOnLoad="1" recordCount="0" r:id="rId1">
  <cacheSource type="worksheet">
    <worksheetSource ref="A1:U1079" sheet="as-code score"/>
  </cacheSource>
  <cacheFields count="21">
    <cacheField name="Customer Name" uniqueList="1" sqlType="0" hierarchy="0" level="0" databaseField="1"/>
    <cacheField name="Priority" uniqueList="1" sqlType="0" hierarchy="0" level="0" databaseField="1"/>
    <cacheField name="Customer Segment" uniqueList="1" sqlType="0" hierarchy="0" level="0" databaseField="1"/>
    <cacheField name="Technologies" uniqueList="1" sqlType="0" hierarchy="0" level="0" databaseField="1"/>
    <cacheField name="Existing Services" uniqueList="1" sqlType="0" hierarchy="0" level="0" databaseField="1"/>
    <cacheField name="Approximate Deal Size" uniqueList="1" sqlType="0" hierarchy="0" level="0" databaseField="1"/>
    <cacheField name="Customer Network Access" uniqueList="1" sqlType="0" hierarchy="0" level="0" databaseField="1"/>
    <cacheField name="Start Date" uniqueList="1" sqlType="0" hierarchy="0" level="0" databaseField="1"/>
    <cacheField name="Implementation Team" uniqueList="1" sqlType="0" hierarchy="0" level="0" databaseField="1"/>
    <cacheField name="NaC Score" uniqueList="1" sqlType="0" hierarchy="0" level="0" databaseField="1"/>
    <cacheField name="Architecture CDA/CE" uniqueList="1" sqlType="0" hierarchy="0" level="0" databaseField="1"/>
    <cacheField name="Theater CDA" uniqueList="1" sqlType="0" hierarchy="0" level="0" databaseField="1"/>
    <cacheField name="Theater CDA Leader" uniqueList="1" sqlType="0" hierarchy="0" level="0" databaseField="1"/>
    <cacheField name="NaC Parity Reviewer" uniqueList="1" sqlType="0" hierarchy="0" level="0" databaseField="1"/>
    <cacheField name="NaC Parity Complete" uniqueList="1" sqlType="0" hierarchy="0" level="0" databaseField="1"/>
    <cacheField name="NaC Parity Comments" uniqueList="1" sqlType="0" hierarchy="0" level="0" databaseField="1"/>
    <cacheField name="NaC Parity %" uniqueList="1" sqlType="0" hierarchy="0" level="0" databaseField="1"/>
    <cacheField name="Next Steps" uniqueList="1" sqlType="0" hierarchy="0" level="0" databaseField="1"/>
    <cacheField name="Status / Comments" uniqueList="1" sqlType="0" hierarchy="0" level="0" databaseField="1"/>
    <cacheField name="Headwinds" uniqueList="1" sqlType="0" hierarchy="0" level="0" databaseField="1"/>
    <cacheField name="Client ready for as code" uniqueList="1" sqlType="0" hierarchy="0" level="0" databaseField="1"/>
  </cacheFields>
</pivotCacheDefinition>
</file>

<file path=xl/pivotCache/pivotCacheRecords1.xml><?xml version="1.0" encoding="utf-8"?>
<pivotCacheRecords xmlns="http://schemas.openxmlformats.org/spreadsheetml/2006/main" count="0"/>
</file>

<file path=xl/pivotCache/pivotCacheRecords2.xml><?xml version="1.0" encoding="utf-8"?>
<pivotCacheRecords xmlns="http://schemas.openxmlformats.org/spreadsheetml/2006/main" count="0"/>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pivotTable1.xml><?xml version="1.0" encoding="utf-8"?>
<pivotTableDefinition xmlns:r="http://schemas.openxmlformats.org/officeDocument/2006/relationships" xmlns="http://schemas.openxmlformats.org/spreadsheetml/2006/main" name="Pivot_Cust_x_Tech" cacheId="1"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1" outline="0" outlineData="0" compactData="1" published="0" gridDropZones="0" immersive="1" multipleFieldFilters="0" chartFormat="0" fieldListSortAscending="0" mdxSubqueries="0" applyNumberFormats="0" applyBorderFormats="0" applyFontFormats="0" applyPatternFormats="0" applyAlignmentFormats="0" applyWidthHeightFormats="0" r:id="rId1">
  <location ref="A3" firstHeaderRow="1" firstDataRow="1" firstDataCol="1"/>
  <pivotFields count="2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s>
  <rowFields count="1">
    <field x="0"/>
  </rowFields>
  <rowItems count="1">
    <i t="default" r="0" i="0"/>
  </rowItems>
  <colFields count="1">
    <field x="3"/>
  </colFields>
  <colItems count="1">
    <i t="default" r="0" i="0"/>
  </colItems>
  <dataFields count="1">
    <dataField name="Count of Customer Name" fld="0" subtotal="count" showDataAs="normal" baseField="-1" baseItem="1048832"/>
  </dataFields>
</pivotTableDefinition>
</file>

<file path=xl/pivotTables/pivotTable2.xml><?xml version="1.0" encoding="utf-8"?>
<pivotTableDefinition xmlns:r="http://schemas.openxmlformats.org/officeDocument/2006/relationships" xmlns="http://schemas.openxmlformats.org/spreadsheetml/2006/main" name="Pivot_Seg_x_Complete" cacheId="1"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1" outline="0" outlineData="0" compactData="1" published="0" gridDropZones="0" immersive="1" multipleFieldFilters="0" chartFormat="0" fieldListSortAscending="0" mdxSubqueries="0" applyNumberFormats="0" applyBorderFormats="0" applyFontFormats="0" applyPatternFormats="0" applyAlignmentFormats="0" applyWidthHeightFormats="0" r:id="rId1">
  <location ref="M3" firstHeaderRow="1" firstDataRow="1" firstDataCol="1"/>
  <pivotFields count="2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 showDropDowns="1" compact="1" outline="1" subtotalTop="1" dragToRow="1" dragToCol="1" dragToPage="1" dragToData="1" dragOff="1" showAll="1" topAutoShow="1" itemPageCount="10" sortType="manual" defaultSubtotal="1"/>
  </pivotFields>
  <rowFields count="1">
    <field x="2"/>
  </rowFields>
  <rowItems count="1">
    <i t="default" r="0" i="0"/>
  </rowItems>
  <colFields count="1">
    <field x="14"/>
  </colFields>
  <colItems count="1">
    <i t="default" r="0" i="0"/>
  </colItems>
  <dataFields count="1">
    <dataField name="Count of Customer Name" fld="0" subtotal="count" showDataAs="normal" baseField="-1" baseItem="1048832"/>
  </dataFields>
</pivotTableDefinition>
</file>

<file path=xl/tables/table1.xml><?xml version="1.0" encoding="utf-8"?>
<table xmlns="http://schemas.openxmlformats.org/spreadsheetml/2006/main" id="1" name="tbl_NaC_Readiness" displayName="tbl_NaC_Readiness" ref="A1:U1079" headerRowCount="1">
  <autoFilter ref="A1:U1079"/>
  <tableColumns count="21">
    <tableColumn id="1" name="Customer Name"/>
    <tableColumn id="2" name="Priority"/>
    <tableColumn id="3" name="Customer Segment"/>
    <tableColumn id="4" name="Technologies"/>
    <tableColumn id="5" name="Existing Services"/>
    <tableColumn id="6" name="Approximate Deal Size"/>
    <tableColumn id="7" name="Customer Network Access"/>
    <tableColumn id="8" name="Start Date"/>
    <tableColumn id="9" name="Implementation Team"/>
    <tableColumn id="10" name="NaC Score"/>
    <tableColumn id="11" name="Architecture CDA/CE"/>
    <tableColumn id="12" name="Theater CDA"/>
    <tableColumn id="13" name="Theater CDA Leader"/>
    <tableColumn id="14" name="NaC Parity Reviewer"/>
    <tableColumn id="15" name="NaC Parity Complete"/>
    <tableColumn id="16" name="NaC Parity Comments"/>
    <tableColumn id="17" name="NaC Parity %"/>
    <tableColumn id="18" name="Next Steps"/>
    <tableColumn id="19" name="Status / Comments"/>
    <tableColumn id="20" name="Headwinds"/>
    <tableColumn id="21" name="Client ready for as code"/>
  </tableColumns>
  <tableStyleInfo name="TableStyleMedium2" showFirstColumn="0" showLastColumn="0" showRowStripes="1" showColumnStripes="0"/>
</table>
</file>

<file path=xl/tables/table2.xml><?xml version="1.0" encoding="utf-8"?>
<table xmlns="http://schemas.openxmlformats.org/spreadsheetml/2006/main" id="2" name="RefValues" displayName="RefValues" ref="B2:I13" headerRowCount="1" totalsRowShown="0" headerRowDxfId="3">
  <autoFilter ref="B2:I13"/>
  <tableColumns count="8">
    <tableColumn id="1" name="cust_segment"/>
    <tableColumn id="2" name="tech"/>
    <tableColumn id="3" name="ext_svc"/>
    <tableColumn id="4" name="deal_size"/>
    <tableColumn id="5" name="net_access"/>
    <tableColumn id="8" name="start_date"/>
    <tableColumn id="7" name="impl_team"/>
    <tableColumn id="6" name="priority"/>
  </tableColumns>
  <tableStyleInfo name="TableStyleMedium2" showFirstColumn="0" showLastColumn="0" showRowStripes="1" showColumnStripes="0"/>
</table>
</file>

<file path=xl/tables/table3.xml><?xml version="1.0" encoding="utf-8"?>
<table xmlns="http://schemas.openxmlformats.org/spreadsheetml/2006/main" id="3" name="RefScore" displayName="RefScore" ref="K2:M42" headerRowCount="1" totalsRowShown="0">
  <autoFilter ref="K2:M42"/>
  <tableColumns count="3">
    <tableColumn id="1" name="category"/>
    <tableColumn id="2" name="value"/>
    <tableColumn id="3" name="scor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s>
</file>

<file path=xl/worksheets/_rels/sheet3.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s>
</file>

<file path=xl/worksheets/sheet1.xml><?xml version="1.0" encoding="utf-8"?>
<worksheet xmlns="http://schemas.openxmlformats.org/spreadsheetml/2006/main">
  <sheetPr>
    <outlinePr summaryBelow="1" summaryRight="1"/>
    <pageSetUpPr/>
  </sheetPr>
  <dimension ref="A1:U1079"/>
  <sheetViews>
    <sheetView tabSelected="1" zoomScale="130" zoomScaleNormal="130" workbookViewId="0">
      <pane xSplit="4" topLeftCell="L1" activePane="topRight" state="frozen"/>
      <selection activeCell="A2" sqref="A2"/>
      <selection pane="topRight" activeCell="L9" sqref="L9"/>
    </sheetView>
  </sheetViews>
  <sheetFormatPr baseColWidth="10" defaultColWidth="11.5" defaultRowHeight="15" customHeight="1"/>
  <cols>
    <col width="22.33203125" customWidth="1" min="1" max="1"/>
    <col width="15.1640625" customWidth="1" style="7" min="2" max="2"/>
    <col width="18.5" customWidth="1" min="3" max="3"/>
    <col width="14" customWidth="1" min="4" max="4"/>
    <col width="16.5" customWidth="1" min="5" max="5"/>
    <col width="20.6640625" customWidth="1" min="6" max="6"/>
    <col width="15.1640625" customWidth="1" min="7" max="7"/>
    <col width="11.6640625" customWidth="1" min="8" max="8"/>
    <col width="15.5" customWidth="1" min="9" max="9"/>
    <col width="10.6640625" customWidth="1" style="5" min="10" max="10"/>
    <col width="31.33203125" customWidth="1" min="11" max="16"/>
    <col width="31.33203125" customWidth="1" style="14" min="17" max="17"/>
    <col width="52.6640625" customWidth="1" min="18" max="18"/>
    <col width="52.6640625" customWidth="1" style="11" min="19" max="19"/>
    <col width="28.83203125" customWidth="1" min="20" max="20"/>
    <col width="20.1640625" customWidth="1" min="21" max="21"/>
  </cols>
  <sheetData>
    <row r="1" ht="48" customFormat="1" customHeight="1" s="1">
      <c r="A1" s="2" t="inlineStr">
        <is>
          <t>Customer Name</t>
        </is>
      </c>
      <c r="B1" s="2" t="inlineStr">
        <is>
          <t>Priority</t>
        </is>
      </c>
      <c r="C1" s="2" t="inlineStr">
        <is>
          <t>Customer Segment</t>
        </is>
      </c>
      <c r="D1" s="2" t="inlineStr">
        <is>
          <t>Technologies</t>
        </is>
      </c>
      <c r="E1" s="2" t="inlineStr">
        <is>
          <t>Existing Services</t>
        </is>
      </c>
      <c r="F1" s="2" t="inlineStr">
        <is>
          <t>Approximate Deal Size</t>
        </is>
      </c>
      <c r="G1" s="2" t="inlineStr">
        <is>
          <t>Customer Network Access</t>
        </is>
      </c>
      <c r="H1" s="2" t="inlineStr">
        <is>
          <t>Start Date</t>
        </is>
      </c>
      <c r="I1" s="2" t="inlineStr">
        <is>
          <t>Implementation Team</t>
        </is>
      </c>
      <c r="J1" s="4" t="inlineStr">
        <is>
          <t>NaC Score</t>
        </is>
      </c>
      <c r="K1" s="2" t="inlineStr">
        <is>
          <t>Architecture CDA/CE</t>
        </is>
      </c>
      <c r="L1" s="2" t="inlineStr">
        <is>
          <t>Theater CDA</t>
        </is>
      </c>
      <c r="M1" s="2" t="inlineStr">
        <is>
          <t>Theater CDA Leader</t>
        </is>
      </c>
      <c r="N1" s="2" t="inlineStr">
        <is>
          <t>NaC Parity Reviewer</t>
        </is>
      </c>
      <c r="O1" s="2" t="inlineStr">
        <is>
          <t>NaC Parity Complete</t>
        </is>
      </c>
      <c r="P1" s="2" t="inlineStr">
        <is>
          <t>NaC Parity Comments</t>
        </is>
      </c>
      <c r="Q1" s="13" t="inlineStr">
        <is>
          <t>NaC Parity %</t>
        </is>
      </c>
      <c r="R1" s="2" t="inlineStr">
        <is>
          <t>Next Steps</t>
        </is>
      </c>
      <c r="S1" s="2" t="inlineStr">
        <is>
          <t>Status / Comments</t>
        </is>
      </c>
      <c r="T1" s="2" t="inlineStr">
        <is>
          <t>Headwinds</t>
        </is>
      </c>
      <c r="U1" s="2" t="inlineStr">
        <is>
          <t>Client ready for as code</t>
        </is>
      </c>
    </row>
    <row r="2" ht="16" customHeight="1">
      <c r="A2" s="6" t="inlineStr">
        <is>
          <t>3M</t>
        </is>
      </c>
      <c r="B2" s="7" t="inlineStr">
        <is>
          <t>None</t>
        </is>
      </c>
      <c r="C2" t="inlineStr">
        <is>
          <t>GES-Central</t>
        </is>
      </c>
      <c r="D2" t="inlineStr">
        <is>
          <t>Cat-C/SDA</t>
        </is>
      </c>
      <c r="G2" t="inlineStr">
        <is>
          <t>No</t>
        </is>
      </c>
      <c r="J2" s="5">
        <f t="array" ref="J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2" s="16" t="inlineStr">
        <is>
          <t>Birch Hansen (birhanse)</t>
        </is>
      </c>
      <c r="O2" t="inlineStr">
        <is>
          <t>No</t>
        </is>
      </c>
      <c r="P2" t="inlineStr">
        <is>
          <t>Parity (raw): 0 | Controller access (survey): No</t>
        </is>
      </c>
      <c r="Q2" s="14" t="n">
        <v>0</v>
      </c>
    </row>
    <row r="3" ht="16" customHeight="1">
      <c r="A3" s="6" t="inlineStr">
        <is>
          <t>AAFES</t>
        </is>
      </c>
      <c r="B3" s="7" t="inlineStr">
        <is>
          <t>None</t>
        </is>
      </c>
      <c r="C3" t="inlineStr">
        <is>
          <t>GES-West</t>
        </is>
      </c>
      <c r="D3" t="inlineStr">
        <is>
          <t>Cat-C/SDA</t>
        </is>
      </c>
      <c r="G3" t="inlineStr">
        <is>
          <t>No</t>
        </is>
      </c>
      <c r="J3" s="5">
        <f t="array" ref="J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3" s="16" t="inlineStr">
        <is>
          <t>Abe Basurto Reyes (abbasurt)</t>
        </is>
      </c>
      <c r="O3" t="inlineStr">
        <is>
          <t>No</t>
        </is>
      </c>
      <c r="P3" t="inlineStr">
        <is>
          <t>Parity (raw): No direct access | Controller access (survey): No</t>
        </is>
      </c>
      <c r="Q3" s="14" t="n">
        <v>0</v>
      </c>
    </row>
    <row r="4" ht="16" customHeight="1">
      <c r="A4" s="6" t="inlineStr">
        <is>
          <t>Abbvie</t>
        </is>
      </c>
      <c r="B4" s="7" t="inlineStr">
        <is>
          <t>None</t>
        </is>
      </c>
      <c r="D4" t="inlineStr">
        <is>
          <t>SD-WAN</t>
        </is>
      </c>
      <c r="G4" t="inlineStr">
        <is>
          <t>Yes</t>
        </is>
      </c>
      <c r="J4" s="5">
        <f t="array" ref="J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4" s="16" t="inlineStr">
        <is>
          <t>Freddy Morales (fremoral)</t>
        </is>
      </c>
      <c r="O4" t="inlineStr">
        <is>
          <t>Yes</t>
        </is>
      </c>
      <c r="P4" t="inlineStr">
        <is>
          <t>Parity (raw): 100 | Report: https://cisco-my.sharepoint.com/personal/dhprajap_cisco_com/Documents/Apps/Microsoft%20Forms/Customer%20NaC%20Parity%20Database/Question/sdwan-report-Abbvie_Freddy%20Morales.pdf | Controller access (survey): Yes</t>
        </is>
      </c>
      <c r="Q4" s="14" t="n">
        <v>1</v>
      </c>
    </row>
    <row r="5" ht="16" customHeight="1">
      <c r="A5" s="6" t="inlineStr">
        <is>
          <t>ADP</t>
        </is>
      </c>
      <c r="B5" s="7" t="inlineStr">
        <is>
          <t>None</t>
        </is>
      </c>
      <c r="C5" t="inlineStr">
        <is>
          <t>GES-East</t>
        </is>
      </c>
      <c r="D5" t="inlineStr">
        <is>
          <t>Cat-C/SDA</t>
        </is>
      </c>
      <c r="G5" t="inlineStr">
        <is>
          <t>No</t>
        </is>
      </c>
      <c r="J5" s="5">
        <f t="array" ref="J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5" s="16" t="inlineStr">
        <is>
          <t>Alex Guckin (aguckin)</t>
        </is>
      </c>
      <c r="O5" t="inlineStr">
        <is>
          <t>No</t>
        </is>
      </c>
      <c r="P5" t="inlineStr">
        <is>
          <t>Parity (raw): 0 | Controller access (survey): No</t>
        </is>
      </c>
      <c r="Q5" s="14" t="n">
        <v>0</v>
      </c>
    </row>
    <row r="6" ht="16" customHeight="1">
      <c r="A6" s="6" t="inlineStr">
        <is>
          <t>Alcon</t>
        </is>
      </c>
      <c r="B6" s="7" t="inlineStr">
        <is>
          <t>None</t>
        </is>
      </c>
      <c r="D6" t="inlineStr">
        <is>
          <t>SD-WAN</t>
        </is>
      </c>
      <c r="G6" t="inlineStr">
        <is>
          <t>No</t>
        </is>
      </c>
      <c r="J6" s="5">
        <f t="array" ref="J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6" s="16" t="inlineStr">
        <is>
          <t>Amna Ali (amnali)</t>
        </is>
      </c>
      <c r="O6" t="inlineStr">
        <is>
          <t>No</t>
        </is>
      </c>
      <c r="P6" t="inlineStr">
        <is>
          <t>Parity (raw): I don't have direct access to the customer's Controllers. | Controller access (survey): No</t>
        </is>
      </c>
      <c r="Q6" s="14" t="n">
        <v>0</v>
      </c>
    </row>
    <row r="7" ht="16" customHeight="1">
      <c r="A7" s="6" t="inlineStr">
        <is>
          <t>Ameriprise</t>
        </is>
      </c>
      <c r="B7" s="7" t="inlineStr">
        <is>
          <t>None</t>
        </is>
      </c>
      <c r="C7" t="inlineStr">
        <is>
          <t>GES-Central</t>
        </is>
      </c>
      <c r="D7" t="inlineStr">
        <is>
          <t>SD-WAN</t>
        </is>
      </c>
      <c r="G7" t="inlineStr">
        <is>
          <t>No</t>
        </is>
      </c>
      <c r="J7" s="5">
        <f t="array" ref="J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7" s="16" t="inlineStr">
        <is>
          <t>Birch Hansen (birhanse)</t>
        </is>
      </c>
      <c r="O7" t="inlineStr">
        <is>
          <t>No</t>
        </is>
      </c>
      <c r="P7" t="inlineStr">
        <is>
          <t>Parity (raw): 0 | Controller access (survey): No</t>
        </is>
      </c>
      <c r="Q7" s="17" t="n">
        <v>0</v>
      </c>
    </row>
    <row r="8" ht="16" customHeight="1">
      <c r="A8" s="6" t="inlineStr">
        <is>
          <t>Ameriprise</t>
        </is>
      </c>
      <c r="B8" s="7" t="inlineStr">
        <is>
          <t>None</t>
        </is>
      </c>
      <c r="C8" t="inlineStr">
        <is>
          <t>GES-Central</t>
        </is>
      </c>
      <c r="D8" t="inlineStr">
        <is>
          <t>Cat-C/SDA</t>
        </is>
      </c>
      <c r="G8" t="inlineStr">
        <is>
          <t>No</t>
        </is>
      </c>
      <c r="J8" s="5">
        <f t="array" ref="J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8" s="16" t="inlineStr">
        <is>
          <t>Birch Hansen (birhanse)</t>
        </is>
      </c>
      <c r="O8" t="inlineStr">
        <is>
          <t>No</t>
        </is>
      </c>
      <c r="P8" t="inlineStr">
        <is>
          <t>Parity (raw): 0 | Controller access (survey): No</t>
        </is>
      </c>
      <c r="Q8" s="17" t="n">
        <v>0</v>
      </c>
    </row>
    <row r="9" ht="16" customHeight="1">
      <c r="A9" s="6" t="inlineStr">
        <is>
          <t>Autozone</t>
        </is>
      </c>
      <c r="B9" s="7" t="inlineStr">
        <is>
          <t>None</t>
        </is>
      </c>
      <c r="C9" t="inlineStr">
        <is>
          <t>GES-Central</t>
        </is>
      </c>
      <c r="D9" t="inlineStr">
        <is>
          <t>SD-WAN</t>
        </is>
      </c>
      <c r="E9" t="inlineStr">
        <is>
          <t>PDI</t>
        </is>
      </c>
      <c r="F9" t="inlineStr">
        <is>
          <t>$100,000-$500,000</t>
        </is>
      </c>
      <c r="G9" t="inlineStr">
        <is>
          <t>Yes</t>
        </is>
      </c>
      <c r="H9" t="inlineStr">
        <is>
          <t>1 Month</t>
        </is>
      </c>
      <c r="I9" t="inlineStr">
        <is>
          <t>Migration</t>
        </is>
      </c>
      <c r="J9" s="5">
        <f t="array" ref="J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9" t="inlineStr">
        <is>
          <t>Amod Augustin</t>
        </is>
      </c>
      <c r="O9" t="inlineStr">
        <is>
          <t>No</t>
        </is>
      </c>
      <c r="P9" t="inlineStr">
        <is>
          <t>Parity exercise not completed</t>
        </is>
      </c>
    </row>
    <row r="10" ht="16" customHeight="1">
      <c r="A10" t="inlineStr">
        <is>
          <t>Bank of America</t>
        </is>
      </c>
      <c r="B10" s="7" t="inlineStr">
        <is>
          <t>High</t>
        </is>
      </c>
      <c r="C10" t="inlineStr">
        <is>
          <t>GES-Premier</t>
        </is>
      </c>
      <c r="D10" t="inlineStr">
        <is>
          <t>SD-WAN</t>
        </is>
      </c>
      <c r="E10" t="inlineStr">
        <is>
          <t>BCS/LCS</t>
        </is>
      </c>
      <c r="F10" t="inlineStr">
        <is>
          <t>&gt;$1M</t>
        </is>
      </c>
      <c r="G10" t="inlineStr">
        <is>
          <t>Yes</t>
        </is>
      </c>
      <c r="H10" t="inlineStr">
        <is>
          <t>3 Months</t>
        </is>
      </c>
      <c r="I10" t="inlineStr">
        <is>
          <t>Migration</t>
        </is>
      </c>
      <c r="J10" s="5">
        <f t="array" ref="J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10" t="inlineStr">
        <is>
          <t>Lei Tian</t>
        </is>
      </c>
      <c r="O10" t="inlineStr">
        <is>
          <t>No</t>
        </is>
      </c>
      <c r="P10" t="inlineStr">
        <is>
          <t>Parity exercise not completed</t>
        </is>
      </c>
    </row>
    <row r="11" ht="16" customHeight="1">
      <c r="A11" t="inlineStr">
        <is>
          <t>Cigna</t>
        </is>
      </c>
      <c r="B11" s="7" t="inlineStr">
        <is>
          <t>Low</t>
        </is>
      </c>
      <c r="C11" t="inlineStr">
        <is>
          <t>GES-East</t>
        </is>
      </c>
      <c r="D11" t="inlineStr">
        <is>
          <t>SD-WAN</t>
        </is>
      </c>
      <c r="E11" t="inlineStr">
        <is>
          <t>None</t>
        </is>
      </c>
      <c r="F11" t="inlineStr">
        <is>
          <t>$100,000-$500,000</t>
        </is>
      </c>
      <c r="G11" t="inlineStr">
        <is>
          <t>No</t>
        </is>
      </c>
      <c r="H11" t="inlineStr">
        <is>
          <t>6 Months</t>
        </is>
      </c>
      <c r="I11" t="inlineStr">
        <is>
          <t>Customer</t>
        </is>
      </c>
      <c r="J11" s="5">
        <f t="array" ref="J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11" t="inlineStr">
        <is>
          <t>No</t>
        </is>
      </c>
      <c r="P11" t="inlineStr">
        <is>
          <t>Parity exercise not completed</t>
        </is>
      </c>
    </row>
    <row r="12" ht="16" customHeight="1">
      <c r="A12" t="inlineStr">
        <is>
          <t>Cigna</t>
        </is>
      </c>
      <c r="B12" s="7" t="inlineStr">
        <is>
          <t>Low</t>
        </is>
      </c>
      <c r="C12" t="inlineStr">
        <is>
          <t>GES-East</t>
        </is>
      </c>
      <c r="D12" t="inlineStr">
        <is>
          <t>Cat-C/SDA</t>
        </is>
      </c>
      <c r="E12" t="inlineStr">
        <is>
          <t>None</t>
        </is>
      </c>
      <c r="F12" t="inlineStr">
        <is>
          <t>$100,000-$500,000</t>
        </is>
      </c>
      <c r="G12" t="inlineStr">
        <is>
          <t>No</t>
        </is>
      </c>
      <c r="H12" t="inlineStr">
        <is>
          <t>6 Months</t>
        </is>
      </c>
      <c r="I12" t="inlineStr">
        <is>
          <t>Customer</t>
        </is>
      </c>
      <c r="J12" s="5">
        <f t="array" ref="J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12" t="inlineStr">
        <is>
          <t>No</t>
        </is>
      </c>
      <c r="P12" t="inlineStr">
        <is>
          <t>Parity exercise not completed</t>
        </is>
      </c>
    </row>
    <row r="13" ht="16" customHeight="1">
      <c r="A13" t="inlineStr">
        <is>
          <t>Cigna</t>
        </is>
      </c>
      <c r="B13" s="7" t="inlineStr">
        <is>
          <t>Low</t>
        </is>
      </c>
      <c r="C13" t="inlineStr">
        <is>
          <t>GES-East</t>
        </is>
      </c>
      <c r="D13" t="inlineStr">
        <is>
          <t>ACI</t>
        </is>
      </c>
      <c r="E13" t="inlineStr">
        <is>
          <t>None</t>
        </is>
      </c>
      <c r="F13" t="inlineStr">
        <is>
          <t>$100,000-$500,000</t>
        </is>
      </c>
      <c r="G13" t="inlineStr">
        <is>
          <t>No</t>
        </is>
      </c>
      <c r="H13" t="inlineStr">
        <is>
          <t>6 Months</t>
        </is>
      </c>
      <c r="I13" t="inlineStr">
        <is>
          <t>Customer</t>
        </is>
      </c>
      <c r="J13" s="5">
        <f t="array" ref="J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 ht="51" customHeight="1">
      <c r="A14" t="inlineStr">
        <is>
          <t>Costco</t>
        </is>
      </c>
      <c r="B14" s="7" t="inlineStr">
        <is>
          <t>High</t>
        </is>
      </c>
      <c r="C14" t="inlineStr">
        <is>
          <t>GES-West</t>
        </is>
      </c>
      <c r="D14" t="inlineStr">
        <is>
          <t>SD-WAN</t>
        </is>
      </c>
      <c r="E14" t="inlineStr">
        <is>
          <t>BCS/LCS</t>
        </is>
      </c>
      <c r="F14" t="inlineStr">
        <is>
          <t>$100,000-$500,000</t>
        </is>
      </c>
      <c r="G14" t="inlineStr">
        <is>
          <t>Yes</t>
        </is>
      </c>
      <c r="H14" t="inlineStr">
        <is>
          <t>6 Months</t>
        </is>
      </c>
      <c r="I14" t="inlineStr">
        <is>
          <t>Theater</t>
        </is>
      </c>
      <c r="J14" s="5">
        <f t="array" ref="J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14" t="inlineStr">
        <is>
          <t>Sinan Asig, Derek Chu,Nikolai Vollmer</t>
        </is>
      </c>
      <c r="L14" t="inlineStr">
        <is>
          <t>Natambu Obleton</t>
        </is>
      </c>
      <c r="M14" t="inlineStr">
        <is>
          <t>Stewart Tan</t>
        </is>
      </c>
      <c r="N14" t="inlineStr">
        <is>
          <t>Sinan Asig (sasig)</t>
        </is>
      </c>
      <c r="O14" t="inlineStr">
        <is>
          <t>Yes</t>
        </is>
      </c>
      <c r="P14" t="inlineStr">
        <is>
          <t>Parity (raw): 100% | Report: https://cisco-my.sharepoint.com/personal/dhprajap_cisco_com/_layouts/15/Doc.aspx?sourcedoc=%7BFEB51745-D85F-4D24-8B36-123C8C041E3D%7D&amp;file=Doc2_Sinan%20Asig.docx&amp;action=default&amp;mobileredirect=true | Controller access (survey): Yes</t>
        </is>
      </c>
      <c r="Q14" s="17" t="n">
        <v>1</v>
      </c>
      <c r="S14" s="11" t="inlineStr">
        <is>
          <t>SDWANasCode demos completed, customer interest in there. Next steps are discovery workshop for APAC region as-code MRF deployment.</t>
        </is>
      </c>
    </row>
    <row r="15" ht="16" customHeight="1">
      <c r="A15" t="inlineStr">
        <is>
          <t>CVS Pharmacy</t>
        </is>
      </c>
      <c r="B15" s="7" t="inlineStr">
        <is>
          <t>High</t>
        </is>
      </c>
      <c r="C15" t="inlineStr">
        <is>
          <t>GES-Premier</t>
        </is>
      </c>
      <c r="D15" t="inlineStr">
        <is>
          <t>SD-WAN</t>
        </is>
      </c>
      <c r="E15" t="inlineStr">
        <is>
          <t>BCS/LCS</t>
        </is>
      </c>
      <c r="F15" t="inlineStr">
        <is>
          <t>&gt;$1M</t>
        </is>
      </c>
      <c r="G15" t="inlineStr">
        <is>
          <t>Yes</t>
        </is>
      </c>
      <c r="H15" t="inlineStr">
        <is>
          <t>3 Months</t>
        </is>
      </c>
      <c r="I15" t="inlineStr">
        <is>
          <t>CMS</t>
        </is>
      </c>
      <c r="J15" s="5">
        <f t="array" ref="J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15" s="8" t="inlineStr">
        <is>
          <t>Identify New</t>
        </is>
      </c>
      <c r="L15" s="8" t="n"/>
      <c r="M15" s="8" t="n"/>
      <c r="N15" s="8" t="n"/>
      <c r="O15" s="8" t="inlineStr">
        <is>
          <t>No</t>
        </is>
      </c>
      <c r="P15" s="8" t="inlineStr">
        <is>
          <t>Parity exercise not completed</t>
        </is>
      </c>
      <c r="Q15" s="15" t="n"/>
    </row>
    <row r="16" ht="16" customHeight="1">
      <c r="A16" t="inlineStr">
        <is>
          <t>CVS Pharmacy</t>
        </is>
      </c>
      <c r="B16" s="7" t="inlineStr">
        <is>
          <t>High</t>
        </is>
      </c>
      <c r="C16" t="inlineStr">
        <is>
          <t>GES-Premier</t>
        </is>
      </c>
      <c r="D16" t="inlineStr">
        <is>
          <t>Meraki</t>
        </is>
      </c>
      <c r="E16" t="inlineStr">
        <is>
          <t>BCS/LCS</t>
        </is>
      </c>
      <c r="F16" t="inlineStr">
        <is>
          <t>&gt;$1M</t>
        </is>
      </c>
      <c r="G16" t="inlineStr">
        <is>
          <t>Yes</t>
        </is>
      </c>
      <c r="H16" t="inlineStr">
        <is>
          <t>3 Months</t>
        </is>
      </c>
      <c r="I16" t="inlineStr">
        <is>
          <t>CMS</t>
        </is>
      </c>
      <c r="J16" s="5">
        <f t="array" ref="J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16" s="9" t="inlineStr">
        <is>
          <t>Lee Sudduth (new)</t>
        </is>
      </c>
    </row>
    <row r="17" ht="16" customHeight="1">
      <c r="A17" t="inlineStr">
        <is>
          <t>CVS Pharmacy - TLM</t>
        </is>
      </c>
      <c r="B17" s="7" t="inlineStr">
        <is>
          <t>High</t>
        </is>
      </c>
      <c r="C17" t="inlineStr">
        <is>
          <t>GES-Premier</t>
        </is>
      </c>
      <c r="D17" t="inlineStr">
        <is>
          <t>Cat-C/SDA</t>
        </is>
      </c>
      <c r="E17" t="inlineStr">
        <is>
          <t>PDI</t>
        </is>
      </c>
      <c r="F17" t="inlineStr">
        <is>
          <t>&gt;$1M</t>
        </is>
      </c>
      <c r="G17" t="inlineStr">
        <is>
          <t>Yes</t>
        </is>
      </c>
      <c r="H17" t="inlineStr">
        <is>
          <t>3 Months</t>
        </is>
      </c>
      <c r="I17" t="inlineStr">
        <is>
          <t>Theater</t>
        </is>
      </c>
      <c r="J17" s="5">
        <f t="array" ref="J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17" t="inlineStr">
        <is>
          <t>Karthik Prabanahdhan</t>
        </is>
      </c>
      <c r="O17" t="inlineStr">
        <is>
          <t>No</t>
        </is>
      </c>
      <c r="P17" t="inlineStr">
        <is>
          <t>Parity exercise not completed</t>
        </is>
      </c>
    </row>
    <row r="18" ht="16" customHeight="1">
      <c r="A18" t="inlineStr">
        <is>
          <t>DELTA</t>
        </is>
      </c>
      <c r="B18" s="7" t="inlineStr">
        <is>
          <t>High</t>
        </is>
      </c>
      <c r="C18" t="inlineStr">
        <is>
          <t>GES-East</t>
        </is>
      </c>
      <c r="D18" t="inlineStr">
        <is>
          <t>Cat-C/SDA</t>
        </is>
      </c>
      <c r="E18" t="inlineStr">
        <is>
          <t>PDI</t>
        </is>
      </c>
      <c r="F18" t="inlineStr">
        <is>
          <t>$500,000-$1M</t>
        </is>
      </c>
      <c r="G18" t="inlineStr">
        <is>
          <t>Yes</t>
        </is>
      </c>
      <c r="H18" t="inlineStr">
        <is>
          <t>3 Months</t>
        </is>
      </c>
      <c r="I18" t="inlineStr">
        <is>
          <t>Theater</t>
        </is>
      </c>
      <c r="J18" s="5">
        <f t="array" ref="J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18" t="inlineStr">
        <is>
          <t>Oliver Jancevski, Zulfi Anees</t>
        </is>
      </c>
      <c r="L18" t="inlineStr">
        <is>
          <t>Vikas Bhadola</t>
        </is>
      </c>
      <c r="O18" t="inlineStr">
        <is>
          <t>No</t>
        </is>
      </c>
      <c r="P18" t="inlineStr">
        <is>
          <t>Parity exercise not completed</t>
        </is>
      </c>
    </row>
    <row r="19" ht="16" customHeight="1">
      <c r="A19" t="inlineStr">
        <is>
          <t>DTCC</t>
        </is>
      </c>
      <c r="B19" s="7" t="inlineStr">
        <is>
          <t>High</t>
        </is>
      </c>
      <c r="C19" t="inlineStr">
        <is>
          <t>GES-East</t>
        </is>
      </c>
      <c r="D19" t="inlineStr">
        <is>
          <t>NDFC</t>
        </is>
      </c>
      <c r="E19" t="inlineStr">
        <is>
          <t>BCS/LCS</t>
        </is>
      </c>
      <c r="F19" t="inlineStr">
        <is>
          <t>$100,000-$500,000</t>
        </is>
      </c>
      <c r="G19" t="inlineStr">
        <is>
          <t>No</t>
        </is>
      </c>
      <c r="H19" t="inlineStr">
        <is>
          <t>6 Months</t>
        </is>
      </c>
      <c r="I19" t="inlineStr">
        <is>
          <t>Customer</t>
        </is>
      </c>
      <c r="J19" s="5">
        <f t="array" ref="J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19" t="inlineStr">
        <is>
          <t>Matt Horn</t>
        </is>
      </c>
    </row>
    <row r="20" ht="16" customHeight="1">
      <c r="A20" t="inlineStr">
        <is>
          <t>DTCC</t>
        </is>
      </c>
      <c r="B20" s="7" t="inlineStr">
        <is>
          <t>High</t>
        </is>
      </c>
      <c r="C20" t="inlineStr">
        <is>
          <t>GES-East</t>
        </is>
      </c>
      <c r="D20" t="inlineStr">
        <is>
          <t>SD-WAN</t>
        </is>
      </c>
      <c r="E20" t="inlineStr">
        <is>
          <t>BCS/LCS</t>
        </is>
      </c>
      <c r="F20" t="inlineStr">
        <is>
          <t>$100,000-$500,000</t>
        </is>
      </c>
      <c r="G20" t="inlineStr">
        <is>
          <t>No</t>
        </is>
      </c>
      <c r="H20" t="inlineStr">
        <is>
          <t>6 Months</t>
        </is>
      </c>
      <c r="I20" t="inlineStr">
        <is>
          <t>Customer</t>
        </is>
      </c>
      <c r="J20" s="5">
        <f t="array" ref="J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20" t="inlineStr">
        <is>
          <t>Nikolai Vollmer</t>
        </is>
      </c>
      <c r="L20" t="inlineStr">
        <is>
          <t>Matt Horn</t>
        </is>
      </c>
      <c r="O20" t="inlineStr">
        <is>
          <t>No</t>
        </is>
      </c>
      <c r="P20" t="inlineStr">
        <is>
          <t>Parity exercise not completed</t>
        </is>
      </c>
    </row>
    <row r="21" ht="16" customHeight="1">
      <c r="A21" t="inlineStr">
        <is>
          <t>Fannie Mae</t>
        </is>
      </c>
      <c r="B21" s="7" t="inlineStr">
        <is>
          <t>Low</t>
        </is>
      </c>
      <c r="C21" t="inlineStr">
        <is>
          <t>GES-East</t>
        </is>
      </c>
      <c r="D21" t="inlineStr">
        <is>
          <t>Meraki</t>
        </is>
      </c>
      <c r="E21" t="inlineStr">
        <is>
          <t>SME/SAS</t>
        </is>
      </c>
      <c r="F21" t="inlineStr">
        <is>
          <t>$100,000-$500,000</t>
        </is>
      </c>
      <c r="G21" t="inlineStr">
        <is>
          <t>No</t>
        </is>
      </c>
      <c r="H21" t="inlineStr">
        <is>
          <t>3 Months</t>
        </is>
      </c>
      <c r="I21" t="inlineStr">
        <is>
          <t>Customer</t>
        </is>
      </c>
      <c r="J21" s="5">
        <f t="array" ref="J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 ht="16" customHeight="1">
      <c r="A22" t="inlineStr">
        <is>
          <t>Fannie Mae</t>
        </is>
      </c>
      <c r="B22" s="7" t="inlineStr">
        <is>
          <t>Low</t>
        </is>
      </c>
      <c r="C22" t="inlineStr">
        <is>
          <t>GES-East</t>
        </is>
      </c>
      <c r="D22" t="inlineStr">
        <is>
          <t>ACI</t>
        </is>
      </c>
      <c r="E22" t="inlineStr">
        <is>
          <t>SME/SAS</t>
        </is>
      </c>
      <c r="F22" t="inlineStr">
        <is>
          <t>$100,000-$500,000</t>
        </is>
      </c>
      <c r="G22" t="inlineStr">
        <is>
          <t>No</t>
        </is>
      </c>
      <c r="H22" t="inlineStr">
        <is>
          <t>3 Months</t>
        </is>
      </c>
      <c r="I22" t="inlineStr">
        <is>
          <t>Customer</t>
        </is>
      </c>
      <c r="J22" s="5">
        <f t="array" ref="J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 ht="16" customHeight="1">
      <c r="A23" t="inlineStr">
        <is>
          <t>Fannie Mae</t>
        </is>
      </c>
      <c r="B23" s="7" t="inlineStr">
        <is>
          <t>Low</t>
        </is>
      </c>
      <c r="C23" t="inlineStr">
        <is>
          <t>GES-East</t>
        </is>
      </c>
      <c r="D23" t="inlineStr">
        <is>
          <t>ISE</t>
        </is>
      </c>
      <c r="E23" t="inlineStr">
        <is>
          <t>SME/SAS</t>
        </is>
      </c>
      <c r="F23" t="inlineStr">
        <is>
          <t>$100,000-$500,000</t>
        </is>
      </c>
      <c r="G23" t="inlineStr">
        <is>
          <t>No</t>
        </is>
      </c>
      <c r="H23" t="inlineStr">
        <is>
          <t>3 Months</t>
        </is>
      </c>
      <c r="I23" t="inlineStr">
        <is>
          <t>Customer</t>
        </is>
      </c>
      <c r="J23" s="5">
        <f t="array" ref="J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 ht="16" customHeight="1">
      <c r="A24" t="inlineStr">
        <is>
          <t>Fannie Mae</t>
        </is>
      </c>
      <c r="B24" s="7" t="inlineStr">
        <is>
          <t>Low</t>
        </is>
      </c>
      <c r="C24" t="inlineStr">
        <is>
          <t>GES-East</t>
        </is>
      </c>
      <c r="D24" t="inlineStr">
        <is>
          <t>NDFC</t>
        </is>
      </c>
      <c r="E24" t="inlineStr">
        <is>
          <t>SME/SAS</t>
        </is>
      </c>
      <c r="F24" t="inlineStr">
        <is>
          <t>$100,000-$500,000</t>
        </is>
      </c>
      <c r="G24" t="inlineStr">
        <is>
          <t>No</t>
        </is>
      </c>
      <c r="H24" t="inlineStr">
        <is>
          <t>3 Months</t>
        </is>
      </c>
      <c r="I24" t="inlineStr">
        <is>
          <t>Customer</t>
        </is>
      </c>
      <c r="J24" s="5">
        <f t="array" ref="J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 ht="16" customHeight="1">
      <c r="A25" t="inlineStr">
        <is>
          <t>Fannie Mae</t>
        </is>
      </c>
      <c r="B25" s="7" t="inlineStr">
        <is>
          <t>Low</t>
        </is>
      </c>
      <c r="C25" t="inlineStr">
        <is>
          <t>GES-East</t>
        </is>
      </c>
      <c r="D25" t="inlineStr">
        <is>
          <t>SD-WAN</t>
        </is>
      </c>
      <c r="E25" t="inlineStr">
        <is>
          <t>SME/SAS</t>
        </is>
      </c>
      <c r="F25" t="inlineStr">
        <is>
          <t>$100,000-$500,000</t>
        </is>
      </c>
      <c r="G25" t="inlineStr">
        <is>
          <t>No</t>
        </is>
      </c>
      <c r="H25" t="inlineStr">
        <is>
          <t>3 Months</t>
        </is>
      </c>
      <c r="I25" t="inlineStr">
        <is>
          <t>Customer</t>
        </is>
      </c>
      <c r="J25" s="5">
        <f t="array" ref="J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25" t="inlineStr">
        <is>
          <t>Ramcharan Arya</t>
        </is>
      </c>
      <c r="O25" t="inlineStr">
        <is>
          <t>No</t>
        </is>
      </c>
      <c r="P25" t="inlineStr">
        <is>
          <t>Parity exercise not completed</t>
        </is>
      </c>
    </row>
    <row r="26" ht="16" customHeight="1">
      <c r="A26" t="inlineStr">
        <is>
          <t>Fidelity</t>
        </is>
      </c>
      <c r="B26" s="7" t="inlineStr">
        <is>
          <t>Low</t>
        </is>
      </c>
      <c r="C26" t="inlineStr">
        <is>
          <t>GES-East</t>
        </is>
      </c>
      <c r="D26" t="inlineStr">
        <is>
          <t>Cat-C/SDA</t>
        </is>
      </c>
      <c r="E26" t="inlineStr">
        <is>
          <t>PDI</t>
        </is>
      </c>
      <c r="F26" t="inlineStr">
        <is>
          <t>$500,000-$1M</t>
        </is>
      </c>
      <c r="G26" t="inlineStr">
        <is>
          <t>Yes</t>
        </is>
      </c>
      <c r="H26" t="inlineStr">
        <is>
          <t>1 Month</t>
        </is>
      </c>
      <c r="I26" t="inlineStr">
        <is>
          <t>Theater</t>
        </is>
      </c>
      <c r="J26" s="5">
        <f t="array" ref="J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26" t="inlineStr">
        <is>
          <t>Daniel Brooker (dabrooke)</t>
        </is>
      </c>
      <c r="O26" t="inlineStr">
        <is>
          <t>No</t>
        </is>
      </c>
      <c r="P26" t="inlineStr">
        <is>
          <t>Parity (raw): 0% | Controller access (survey): No</t>
        </is>
      </c>
      <c r="Q26" s="17" t="n">
        <v>0</v>
      </c>
    </row>
    <row r="27" ht="16" customHeight="1">
      <c r="A27" t="inlineStr">
        <is>
          <t>FISERV</t>
        </is>
      </c>
      <c r="B27" s="7" t="inlineStr">
        <is>
          <t>Low</t>
        </is>
      </c>
      <c r="C27" t="inlineStr">
        <is>
          <t>GES-East</t>
        </is>
      </c>
      <c r="D27" t="inlineStr">
        <is>
          <t>ACI</t>
        </is>
      </c>
      <c r="E27" t="inlineStr">
        <is>
          <t>BCS/LCS</t>
        </is>
      </c>
      <c r="F27" t="inlineStr">
        <is>
          <t>$500,000-$1M</t>
        </is>
      </c>
      <c r="G27" t="inlineStr">
        <is>
          <t>Yes</t>
        </is>
      </c>
      <c r="H27" t="inlineStr">
        <is>
          <t>3 Months</t>
        </is>
      </c>
      <c r="I27" t="inlineStr">
        <is>
          <t>Theater</t>
        </is>
      </c>
      <c r="J27" s="5">
        <f t="array" ref="J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27" t="inlineStr">
        <is>
          <t>Rinku Mahecha</t>
        </is>
      </c>
    </row>
    <row r="28" ht="16" customHeight="1">
      <c r="A28" t="inlineStr">
        <is>
          <t>FISERV</t>
        </is>
      </c>
      <c r="B28" s="7" t="inlineStr">
        <is>
          <t>High</t>
        </is>
      </c>
      <c r="C28" t="inlineStr">
        <is>
          <t>GES-East</t>
        </is>
      </c>
      <c r="D28" t="inlineStr">
        <is>
          <t>SD-WAN</t>
        </is>
      </c>
      <c r="E28" t="inlineStr">
        <is>
          <t>BCS/LCS</t>
        </is>
      </c>
      <c r="F28" t="inlineStr">
        <is>
          <t>$500,000-$1M</t>
        </is>
      </c>
      <c r="G28" t="inlineStr">
        <is>
          <t>Yes</t>
        </is>
      </c>
      <c r="H28" t="inlineStr">
        <is>
          <t>3 Months</t>
        </is>
      </c>
      <c r="I28" t="inlineStr">
        <is>
          <t>Theater</t>
        </is>
      </c>
      <c r="J28" s="5">
        <f t="array" ref="J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28" t="inlineStr">
        <is>
          <t>Rowena Sequeira</t>
        </is>
      </c>
      <c r="L28" t="inlineStr">
        <is>
          <t>Rinku Mahecha</t>
        </is>
      </c>
      <c r="O28" t="inlineStr">
        <is>
          <t>No</t>
        </is>
      </c>
      <c r="P28" t="inlineStr">
        <is>
          <t>Parity exercise not completed</t>
        </is>
      </c>
    </row>
    <row r="29" ht="16" customHeight="1">
      <c r="A29" t="inlineStr">
        <is>
          <t>FISERV</t>
        </is>
      </c>
      <c r="B29" s="7" t="inlineStr">
        <is>
          <t>High</t>
        </is>
      </c>
      <c r="C29" t="inlineStr">
        <is>
          <t>GES-East</t>
        </is>
      </c>
      <c r="D29" t="inlineStr">
        <is>
          <t>NDFC</t>
        </is>
      </c>
      <c r="E29" t="inlineStr">
        <is>
          <t>BCS/LCS</t>
        </is>
      </c>
      <c r="F29" t="inlineStr">
        <is>
          <t>$500,000-$1M</t>
        </is>
      </c>
      <c r="G29" t="inlineStr">
        <is>
          <t>Yes</t>
        </is>
      </c>
      <c r="H29" t="inlineStr">
        <is>
          <t>3 Months</t>
        </is>
      </c>
      <c r="I29" t="inlineStr">
        <is>
          <t>Theater</t>
        </is>
      </c>
      <c r="J29" s="5">
        <f t="array" ref="J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29" t="inlineStr">
        <is>
          <t>Tim Blanchard</t>
        </is>
      </c>
      <c r="L29" t="inlineStr">
        <is>
          <t>Rinku Mahecha</t>
        </is>
      </c>
    </row>
    <row r="30" ht="16" customHeight="1">
      <c r="A30" t="inlineStr">
        <is>
          <t>Ford</t>
        </is>
      </c>
      <c r="B30" s="7" t="inlineStr">
        <is>
          <t>Low</t>
        </is>
      </c>
      <c r="C30" t="inlineStr">
        <is>
          <t>GES-Premier</t>
        </is>
      </c>
      <c r="D30" t="inlineStr">
        <is>
          <t>Cat-C/SDA</t>
        </is>
      </c>
      <c r="E30" t="inlineStr">
        <is>
          <t>BCS/LCS</t>
        </is>
      </c>
      <c r="F30" t="inlineStr">
        <is>
          <t>$100,000-$500,000</t>
        </is>
      </c>
      <c r="G30" t="inlineStr">
        <is>
          <t>Yes</t>
        </is>
      </c>
      <c r="H30" t="inlineStr">
        <is>
          <t>6 Months</t>
        </is>
      </c>
      <c r="I30" t="inlineStr">
        <is>
          <t>Customer</t>
        </is>
      </c>
      <c r="J30" s="5">
        <f t="array" ref="J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30" t="inlineStr">
        <is>
          <t>Matthew Cobb</t>
        </is>
      </c>
      <c r="O30" t="inlineStr">
        <is>
          <t>No</t>
        </is>
      </c>
      <c r="P30" t="inlineStr">
        <is>
          <t>Parity exercise not completed</t>
        </is>
      </c>
    </row>
    <row r="31" ht="16" customHeight="1">
      <c r="A31" t="inlineStr">
        <is>
          <t>GlobalFoundries</t>
        </is>
      </c>
      <c r="B31" s="7" t="inlineStr">
        <is>
          <t>Low</t>
        </is>
      </c>
      <c r="C31" t="inlineStr">
        <is>
          <t>GES-East</t>
        </is>
      </c>
      <c r="D31" t="inlineStr">
        <is>
          <t>SD-WAN</t>
        </is>
      </c>
      <c r="E31" t="inlineStr">
        <is>
          <t>BCS/LCS</t>
        </is>
      </c>
      <c r="F31" t="inlineStr">
        <is>
          <t>$100,000-$500,000</t>
        </is>
      </c>
      <c r="G31" t="inlineStr">
        <is>
          <t>No</t>
        </is>
      </c>
      <c r="H31" t="inlineStr">
        <is>
          <t>3 Months</t>
        </is>
      </c>
      <c r="I31" t="inlineStr">
        <is>
          <t>Theater</t>
        </is>
      </c>
      <c r="J31" s="5">
        <f t="array" ref="J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31" t="inlineStr">
        <is>
          <t>Matt Horn</t>
        </is>
      </c>
      <c r="O31" t="inlineStr">
        <is>
          <t>No</t>
        </is>
      </c>
      <c r="P31" t="inlineStr">
        <is>
          <t>Parity exercise not completed</t>
        </is>
      </c>
    </row>
    <row r="32" ht="16" customHeight="1">
      <c r="A32" t="inlineStr">
        <is>
          <t>GlobalFoundries</t>
        </is>
      </c>
      <c r="B32" s="7" t="inlineStr">
        <is>
          <t>Low</t>
        </is>
      </c>
      <c r="C32" t="inlineStr">
        <is>
          <t>GES-East</t>
        </is>
      </c>
      <c r="D32" t="inlineStr">
        <is>
          <t>Cat-C/SDA</t>
        </is>
      </c>
      <c r="E32" t="inlineStr">
        <is>
          <t>BCS/LCS</t>
        </is>
      </c>
      <c r="F32" t="inlineStr">
        <is>
          <t>$100,000-$500,000</t>
        </is>
      </c>
      <c r="G32" t="inlineStr">
        <is>
          <t>No</t>
        </is>
      </c>
      <c r="H32" t="inlineStr">
        <is>
          <t>3 Months</t>
        </is>
      </c>
      <c r="I32" t="inlineStr">
        <is>
          <t>Theater</t>
        </is>
      </c>
      <c r="J32" s="5">
        <f t="array" ref="J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32" t="inlineStr">
        <is>
          <t>Matt Horn</t>
        </is>
      </c>
      <c r="O32" t="inlineStr">
        <is>
          <t>No</t>
        </is>
      </c>
      <c r="P32" t="inlineStr">
        <is>
          <t>Parity exercise not completed</t>
        </is>
      </c>
    </row>
    <row r="33" ht="16" customHeight="1">
      <c r="A33" t="inlineStr">
        <is>
          <t>GlobalFoundries</t>
        </is>
      </c>
      <c r="B33" s="7" t="inlineStr">
        <is>
          <t>Low</t>
        </is>
      </c>
      <c r="C33" t="inlineStr">
        <is>
          <t>GES-East</t>
        </is>
      </c>
      <c r="D33" t="inlineStr">
        <is>
          <t>ISE</t>
        </is>
      </c>
      <c r="E33" t="inlineStr">
        <is>
          <t>BCS/LCS</t>
        </is>
      </c>
      <c r="F33" t="inlineStr">
        <is>
          <t>$100,000-$500,000</t>
        </is>
      </c>
      <c r="G33" t="inlineStr">
        <is>
          <t>No</t>
        </is>
      </c>
      <c r="H33" t="inlineStr">
        <is>
          <t>3 Months</t>
        </is>
      </c>
      <c r="I33" t="inlineStr">
        <is>
          <t>Theater</t>
        </is>
      </c>
      <c r="J33" s="5">
        <f t="array" ref="J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33" t="inlineStr">
        <is>
          <t>Matt Horn</t>
        </is>
      </c>
    </row>
    <row r="34" ht="16" customHeight="1">
      <c r="A34" t="inlineStr">
        <is>
          <t>Liberty Mutual</t>
        </is>
      </c>
      <c r="B34" s="7" t="inlineStr">
        <is>
          <t>High</t>
        </is>
      </c>
      <c r="C34" t="inlineStr">
        <is>
          <t>GES-East</t>
        </is>
      </c>
      <c r="D34" t="inlineStr">
        <is>
          <t>ACI</t>
        </is>
      </c>
      <c r="E34" t="inlineStr">
        <is>
          <t>CMS</t>
        </is>
      </c>
      <c r="F34" t="inlineStr">
        <is>
          <t>$500,000-$1M</t>
        </is>
      </c>
      <c r="G34" t="inlineStr">
        <is>
          <t>Yes</t>
        </is>
      </c>
      <c r="H34" t="inlineStr">
        <is>
          <t>3 Months</t>
        </is>
      </c>
      <c r="I34" t="inlineStr">
        <is>
          <t>CMS</t>
        </is>
      </c>
      <c r="J34" s="5">
        <f t="array" ref="J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34" t="inlineStr">
        <is>
          <t>Rinku Mahecha</t>
        </is>
      </c>
    </row>
    <row r="35" ht="16" customHeight="1">
      <c r="A35" s="10" t="inlineStr">
        <is>
          <t>Marshfield</t>
        </is>
      </c>
      <c r="B35" s="7" t="inlineStr">
        <is>
          <t>High</t>
        </is>
      </c>
      <c r="C35" t="inlineStr">
        <is>
          <t>GES-Central</t>
        </is>
      </c>
      <c r="D35" t="inlineStr">
        <is>
          <t>SD-WAN</t>
        </is>
      </c>
      <c r="E35" t="inlineStr">
        <is>
          <t>PDI</t>
        </is>
      </c>
      <c r="F35" t="inlineStr">
        <is>
          <t>$100,000-$500,000</t>
        </is>
      </c>
      <c r="G35" t="inlineStr">
        <is>
          <t>Yes</t>
        </is>
      </c>
      <c r="H35" t="inlineStr">
        <is>
          <t>3 Months</t>
        </is>
      </c>
      <c r="I35" t="inlineStr">
        <is>
          <t>Partner</t>
        </is>
      </c>
      <c r="J35" s="5">
        <f t="array" ref="J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35" t="inlineStr">
        <is>
          <t>Stuart Higgins/David Nolasco</t>
        </is>
      </c>
      <c r="O35" t="inlineStr">
        <is>
          <t>No</t>
        </is>
      </c>
      <c r="P35" t="inlineStr">
        <is>
          <t>Parity exercise not completed</t>
        </is>
      </c>
    </row>
    <row r="36" ht="16" customHeight="1">
      <c r="A36" s="10" t="inlineStr">
        <is>
          <t>Marshfield</t>
        </is>
      </c>
      <c r="B36" s="7" t="inlineStr">
        <is>
          <t>High</t>
        </is>
      </c>
      <c r="C36" t="inlineStr">
        <is>
          <t>GES-Central</t>
        </is>
      </c>
      <c r="D36" t="inlineStr">
        <is>
          <t>Cat-C/SDA</t>
        </is>
      </c>
      <c r="E36" t="inlineStr">
        <is>
          <t>PDI</t>
        </is>
      </c>
      <c r="F36" t="inlineStr">
        <is>
          <t>$100,000-$500,000</t>
        </is>
      </c>
      <c r="G36" t="inlineStr">
        <is>
          <t>Yes</t>
        </is>
      </c>
      <c r="H36" t="inlineStr">
        <is>
          <t>3 Months</t>
        </is>
      </c>
      <c r="I36" t="inlineStr">
        <is>
          <t>Partner</t>
        </is>
      </c>
      <c r="J36" s="5">
        <f t="array" ref="J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36" t="inlineStr">
        <is>
          <t>Stuart Higgins/Dean Delany</t>
        </is>
      </c>
      <c r="O36" t="inlineStr">
        <is>
          <t>No</t>
        </is>
      </c>
      <c r="P36" t="inlineStr">
        <is>
          <t>Parity exercise not completed</t>
        </is>
      </c>
    </row>
    <row r="37" ht="16" customHeight="1">
      <c r="A37" s="10" t="inlineStr">
        <is>
          <t>Marshfield</t>
        </is>
      </c>
      <c r="B37" s="7" t="inlineStr">
        <is>
          <t>High</t>
        </is>
      </c>
      <c r="C37" t="inlineStr">
        <is>
          <t>GES-Central</t>
        </is>
      </c>
      <c r="D37" t="inlineStr">
        <is>
          <t>IOS-XE</t>
        </is>
      </c>
      <c r="E37" t="inlineStr">
        <is>
          <t>PDI</t>
        </is>
      </c>
      <c r="F37" t="inlineStr">
        <is>
          <t>$100,000-$500,000</t>
        </is>
      </c>
      <c r="G37" t="inlineStr">
        <is>
          <t>Yes</t>
        </is>
      </c>
      <c r="H37" t="inlineStr">
        <is>
          <t>3 Months</t>
        </is>
      </c>
      <c r="I37" t="inlineStr">
        <is>
          <t>Partner</t>
        </is>
      </c>
      <c r="J37" s="5">
        <f t="array" ref="J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37" t="inlineStr">
        <is>
          <t>Stuart Higgins/Anupam Dey</t>
        </is>
      </c>
    </row>
    <row r="38" ht="16" customHeight="1">
      <c r="A38" t="inlineStr">
        <is>
          <t>Merck</t>
        </is>
      </c>
      <c r="B38" s="7" t="inlineStr">
        <is>
          <t>High</t>
        </is>
      </c>
      <c r="C38" t="inlineStr">
        <is>
          <t>GES-East</t>
        </is>
      </c>
      <c r="D38" t="inlineStr">
        <is>
          <t>Cat-C/SDA</t>
        </is>
      </c>
      <c r="E38" t="inlineStr">
        <is>
          <t>BCS/LCS</t>
        </is>
      </c>
      <c r="F38" t="inlineStr">
        <is>
          <t>$100,000-$500,000</t>
        </is>
      </c>
      <c r="G38" t="inlineStr">
        <is>
          <t>No</t>
        </is>
      </c>
      <c r="H38" t="inlineStr">
        <is>
          <t>3 Months</t>
        </is>
      </c>
      <c r="I38" t="inlineStr">
        <is>
          <t>Customer</t>
        </is>
      </c>
      <c r="J38" s="5">
        <f t="array" ref="J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38" t="inlineStr">
        <is>
          <t>Jeff Phillips, Zahir Shivji</t>
        </is>
      </c>
      <c r="L38" t="inlineStr">
        <is>
          <t>Saurabh Sharma</t>
        </is>
      </c>
      <c r="O38" t="inlineStr">
        <is>
          <t>No</t>
        </is>
      </c>
      <c r="P38" t="inlineStr">
        <is>
          <t>Parity exercise not completed</t>
        </is>
      </c>
    </row>
    <row r="39" ht="16" customHeight="1">
      <c r="A39" t="inlineStr">
        <is>
          <t>Merck</t>
        </is>
      </c>
      <c r="B39" s="7" t="inlineStr">
        <is>
          <t>Low</t>
        </is>
      </c>
      <c r="C39" t="inlineStr">
        <is>
          <t>GES-East</t>
        </is>
      </c>
      <c r="D39" t="inlineStr">
        <is>
          <t>ISE</t>
        </is>
      </c>
      <c r="E39" t="inlineStr">
        <is>
          <t>BCS/LCS</t>
        </is>
      </c>
      <c r="F39" t="inlineStr">
        <is>
          <t>$100,000-$500,000</t>
        </is>
      </c>
      <c r="G39" t="inlineStr">
        <is>
          <t>No</t>
        </is>
      </c>
      <c r="H39" t="inlineStr">
        <is>
          <t>6 Months</t>
        </is>
      </c>
      <c r="I39" t="inlineStr">
        <is>
          <t>Customer</t>
        </is>
      </c>
      <c r="J39" s="5">
        <f t="array" ref="J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39" t="inlineStr">
        <is>
          <t>Saurabh Sharma</t>
        </is>
      </c>
    </row>
    <row r="40" ht="16" customHeight="1">
      <c r="A40" t="inlineStr">
        <is>
          <t>MetLife</t>
        </is>
      </c>
      <c r="B40" s="7" t="inlineStr">
        <is>
          <t>Low</t>
        </is>
      </c>
      <c r="C40" t="inlineStr">
        <is>
          <t>GES-East</t>
        </is>
      </c>
      <c r="D40" t="inlineStr">
        <is>
          <t>SD-WAN</t>
        </is>
      </c>
      <c r="E40" t="inlineStr">
        <is>
          <t>PDI</t>
        </is>
      </c>
      <c r="F40" t="inlineStr">
        <is>
          <t>$500,000-$1M</t>
        </is>
      </c>
      <c r="G40" t="inlineStr">
        <is>
          <t>Yes</t>
        </is>
      </c>
      <c r="H40" t="inlineStr">
        <is>
          <t>6 Months</t>
        </is>
      </c>
      <c r="I40" t="inlineStr">
        <is>
          <t>Theater</t>
        </is>
      </c>
      <c r="J40" s="5">
        <f t="array" ref="J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40" t="inlineStr">
        <is>
          <t>No</t>
        </is>
      </c>
      <c r="P40" t="inlineStr">
        <is>
          <t>Parity exercise not completed</t>
        </is>
      </c>
    </row>
    <row r="41" ht="16" customHeight="1">
      <c r="A41" s="6" t="inlineStr">
        <is>
          <t>MetLife</t>
        </is>
      </c>
      <c r="B41" s="7" t="inlineStr">
        <is>
          <t>Low</t>
        </is>
      </c>
      <c r="C41" t="inlineStr">
        <is>
          <t>GES-East</t>
        </is>
      </c>
      <c r="D41" t="inlineStr">
        <is>
          <t>Cat-C/SDA</t>
        </is>
      </c>
      <c r="E41" t="inlineStr">
        <is>
          <t>PDI</t>
        </is>
      </c>
      <c r="F41" t="inlineStr">
        <is>
          <t>$100,000-$500,000</t>
        </is>
      </c>
      <c r="G41" t="inlineStr">
        <is>
          <t>Yes</t>
        </is>
      </c>
      <c r="H41" t="inlineStr">
        <is>
          <t>1 Month</t>
        </is>
      </c>
      <c r="I41" t="inlineStr">
        <is>
          <t>Theater</t>
        </is>
      </c>
      <c r="J41" s="5">
        <f t="array" ref="J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41" t="inlineStr">
        <is>
          <t>No</t>
        </is>
      </c>
      <c r="P41" t="inlineStr">
        <is>
          <t>Parity exercise not completed</t>
        </is>
      </c>
    </row>
    <row r="42" ht="16" customHeight="1">
      <c r="A42" s="6" t="inlineStr">
        <is>
          <t>MGB</t>
        </is>
      </c>
      <c r="B42" s="7" t="inlineStr">
        <is>
          <t>None</t>
        </is>
      </c>
      <c r="C42" t="inlineStr">
        <is>
          <t>GES-East</t>
        </is>
      </c>
      <c r="D42" t="inlineStr">
        <is>
          <t>SD-WAN</t>
        </is>
      </c>
      <c r="E42" t="inlineStr">
        <is>
          <t>BCS/LCS</t>
        </is>
      </c>
      <c r="F42" t="inlineStr">
        <is>
          <t>&gt;$1M</t>
        </is>
      </c>
      <c r="G42" t="inlineStr">
        <is>
          <t>Yes</t>
        </is>
      </c>
      <c r="H42" t="inlineStr">
        <is>
          <t>3 Months</t>
        </is>
      </c>
      <c r="I42" t="inlineStr">
        <is>
          <t>Migration</t>
        </is>
      </c>
      <c r="J42" s="5">
        <f t="array" ref="J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42" t="inlineStr">
        <is>
          <t>Clark Dyson</t>
        </is>
      </c>
      <c r="L42" t="inlineStr">
        <is>
          <t>Dave Lucas</t>
        </is>
      </c>
      <c r="O42" t="inlineStr">
        <is>
          <t>No</t>
        </is>
      </c>
      <c r="P42" t="inlineStr">
        <is>
          <t>Parity exercise not completed</t>
        </is>
      </c>
    </row>
    <row r="43" ht="16" customHeight="1">
      <c r="A43" s="6" t="inlineStr">
        <is>
          <t>MGB</t>
        </is>
      </c>
      <c r="B43" s="7" t="inlineStr">
        <is>
          <t>None</t>
        </is>
      </c>
      <c r="C43" t="inlineStr">
        <is>
          <t>GES-East</t>
        </is>
      </c>
      <c r="D43" t="inlineStr">
        <is>
          <t>Cat-C/SDA</t>
        </is>
      </c>
      <c r="E43" t="inlineStr">
        <is>
          <t>BCS/LCS</t>
        </is>
      </c>
      <c r="F43" t="inlineStr">
        <is>
          <t>&gt;$1M</t>
        </is>
      </c>
      <c r="G43" t="inlineStr">
        <is>
          <t>Yes</t>
        </is>
      </c>
      <c r="H43" t="inlineStr">
        <is>
          <t>3 Months</t>
        </is>
      </c>
      <c r="I43" t="inlineStr">
        <is>
          <t>Migration</t>
        </is>
      </c>
      <c r="J43" s="5">
        <f t="array" ref="J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43" t="inlineStr">
        <is>
          <t>Thomas Dunteman</t>
        </is>
      </c>
      <c r="L43" t="inlineStr">
        <is>
          <t>Dave Lucas / Khurram Masood</t>
        </is>
      </c>
      <c r="N43" t="inlineStr">
        <is>
          <t>Haibin Zhou (haizhou)</t>
        </is>
      </c>
      <c r="O43" t="inlineStr">
        <is>
          <t>Yes</t>
        </is>
      </c>
      <c r="P43" t="inlineStr">
        <is>
          <t>Parity (raw): 58.7 | Report: https://cisco-my.sharepoint.com/personal/dhprajap_cisco_com/Documents/Apps/Microsoft%20Forms/Customer%20NaC%20Parity%20Database/Question/catc-report_Haibin%20Zhou.pdf</t>
        </is>
      </c>
      <c r="Q43" s="14" t="n">
        <v>0.587</v>
      </c>
    </row>
    <row r="44" ht="16" customHeight="1">
      <c r="A44" s="6" t="inlineStr">
        <is>
          <t>MGB</t>
        </is>
      </c>
      <c r="B44" s="7" t="inlineStr">
        <is>
          <t>None</t>
        </is>
      </c>
      <c r="C44" t="inlineStr">
        <is>
          <t>GES-East</t>
        </is>
      </c>
      <c r="D44" t="inlineStr">
        <is>
          <t>NDFC</t>
        </is>
      </c>
      <c r="E44" t="inlineStr">
        <is>
          <t>BCS/LCS</t>
        </is>
      </c>
      <c r="F44" t="inlineStr">
        <is>
          <t>&gt;$1M</t>
        </is>
      </c>
      <c r="G44" t="inlineStr">
        <is>
          <t>Yes</t>
        </is>
      </c>
      <c r="H44" t="inlineStr">
        <is>
          <t>6 Months</t>
        </is>
      </c>
      <c r="I44" t="inlineStr">
        <is>
          <t>Theater</t>
        </is>
      </c>
      <c r="J44" s="5">
        <f t="array" ref="J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44" t="inlineStr">
        <is>
          <t>Dave Lucas / Khurram Masood</t>
        </is>
      </c>
    </row>
    <row r="45" ht="16" customHeight="1">
      <c r="A45" s="6" t="inlineStr">
        <is>
          <t>NFCU</t>
        </is>
      </c>
      <c r="B45" s="7" t="inlineStr">
        <is>
          <t>High</t>
        </is>
      </c>
      <c r="C45" t="inlineStr">
        <is>
          <t>GES-East</t>
        </is>
      </c>
      <c r="D45" t="inlineStr">
        <is>
          <t>ACI</t>
        </is>
      </c>
      <c r="E45" t="inlineStr">
        <is>
          <t>BCS/LCS</t>
        </is>
      </c>
      <c r="F45" t="inlineStr">
        <is>
          <t>$100,000-$500,000</t>
        </is>
      </c>
      <c r="G45" t="inlineStr">
        <is>
          <t>Yes</t>
        </is>
      </c>
      <c r="H45" t="inlineStr">
        <is>
          <t>1 Month</t>
        </is>
      </c>
      <c r="I45" t="inlineStr">
        <is>
          <t>Theater</t>
        </is>
      </c>
      <c r="J45" s="5">
        <f t="array" ref="J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 ht="16" customHeight="1">
      <c r="A46" s="6" t="inlineStr">
        <is>
          <t>NFCU</t>
        </is>
      </c>
      <c r="B46" s="7" t="inlineStr">
        <is>
          <t>High</t>
        </is>
      </c>
      <c r="C46" t="inlineStr">
        <is>
          <t>GES-East</t>
        </is>
      </c>
      <c r="D46" t="inlineStr">
        <is>
          <t>SD-WAN</t>
        </is>
      </c>
      <c r="E46" t="inlineStr">
        <is>
          <t>PDI</t>
        </is>
      </c>
      <c r="F46" t="inlineStr">
        <is>
          <t>$500,000-$1M</t>
        </is>
      </c>
      <c r="G46" t="inlineStr">
        <is>
          <t>Yes</t>
        </is>
      </c>
      <c r="H46" t="inlineStr">
        <is>
          <t>6 Months</t>
        </is>
      </c>
      <c r="I46" t="inlineStr">
        <is>
          <t>Theater</t>
        </is>
      </c>
      <c r="J46" s="5">
        <f t="array" ref="J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46" t="inlineStr">
        <is>
          <t>James Dawkins</t>
        </is>
      </c>
      <c r="O46" t="inlineStr">
        <is>
          <t>No</t>
        </is>
      </c>
      <c r="P46" t="inlineStr">
        <is>
          <t>Parity exercise not completed</t>
        </is>
      </c>
    </row>
    <row r="47" ht="16" customHeight="1">
      <c r="A47" t="inlineStr">
        <is>
          <t>NYCHHC</t>
        </is>
      </c>
      <c r="B47" s="7" t="inlineStr">
        <is>
          <t>High</t>
        </is>
      </c>
      <c r="C47" t="inlineStr">
        <is>
          <t>GES-East</t>
        </is>
      </c>
      <c r="D47" t="inlineStr">
        <is>
          <t>Cat-C/SDA</t>
        </is>
      </c>
      <c r="E47" t="inlineStr">
        <is>
          <t>BCS/LCS</t>
        </is>
      </c>
      <c r="F47" t="inlineStr">
        <is>
          <t>$500,000-$1M</t>
        </is>
      </c>
      <c r="G47" t="inlineStr">
        <is>
          <t>Yes</t>
        </is>
      </c>
      <c r="H47" t="inlineStr">
        <is>
          <t>1 Month</t>
        </is>
      </c>
      <c r="I47" t="inlineStr">
        <is>
          <t>Theater</t>
        </is>
      </c>
      <c r="J47" s="5">
        <f t="array" ref="J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47" t="inlineStr">
        <is>
          <t>Utkarsh Mahar</t>
        </is>
      </c>
      <c r="O47" t="inlineStr">
        <is>
          <t>No</t>
        </is>
      </c>
      <c r="P47" t="inlineStr">
        <is>
          <t>Parity exercise not completed</t>
        </is>
      </c>
    </row>
    <row r="48" ht="16" customHeight="1">
      <c r="A48" t="inlineStr">
        <is>
          <t>NYCHHC</t>
        </is>
      </c>
      <c r="B48" s="7" t="inlineStr">
        <is>
          <t>Low</t>
        </is>
      </c>
      <c r="C48" t="inlineStr">
        <is>
          <t>GES-East</t>
        </is>
      </c>
      <c r="D48" t="inlineStr">
        <is>
          <t>ACI</t>
        </is>
      </c>
      <c r="E48" t="inlineStr">
        <is>
          <t>BCS/LCS</t>
        </is>
      </c>
      <c r="F48" t="inlineStr">
        <is>
          <t>$500,000-$1M</t>
        </is>
      </c>
      <c r="G48" t="inlineStr">
        <is>
          <t>Yes</t>
        </is>
      </c>
      <c r="H48" t="inlineStr">
        <is>
          <t>3 Months</t>
        </is>
      </c>
      <c r="I48" t="inlineStr">
        <is>
          <t>Theater</t>
        </is>
      </c>
      <c r="J48" s="5">
        <f t="array" ref="J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 ht="16" customHeight="1">
      <c r="A49" t="inlineStr">
        <is>
          <t>NYCHHC</t>
        </is>
      </c>
      <c r="B49" s="7" t="inlineStr">
        <is>
          <t>Low</t>
        </is>
      </c>
      <c r="C49" t="inlineStr">
        <is>
          <t>GES-East</t>
        </is>
      </c>
      <c r="D49" t="inlineStr">
        <is>
          <t>SD-WAN</t>
        </is>
      </c>
      <c r="E49" t="inlineStr">
        <is>
          <t>BCS/LCS</t>
        </is>
      </c>
      <c r="F49" t="inlineStr">
        <is>
          <t>$500,000-$1M</t>
        </is>
      </c>
      <c r="G49" t="inlineStr">
        <is>
          <t>Yes</t>
        </is>
      </c>
      <c r="H49" t="inlineStr">
        <is>
          <t>3 Months</t>
        </is>
      </c>
      <c r="I49" t="inlineStr">
        <is>
          <t>Theater</t>
        </is>
      </c>
      <c r="J49" s="5">
        <f t="array" ref="J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49" t="inlineStr">
        <is>
          <t>No</t>
        </is>
      </c>
      <c r="P49" t="inlineStr">
        <is>
          <t>Parity exercise not completed</t>
        </is>
      </c>
    </row>
    <row r="50" ht="16" customHeight="1">
      <c r="A50" t="inlineStr">
        <is>
          <t>NYCHHC</t>
        </is>
      </c>
      <c r="B50" s="7" t="inlineStr">
        <is>
          <t>Low</t>
        </is>
      </c>
      <c r="C50" t="inlineStr">
        <is>
          <t>GES-East</t>
        </is>
      </c>
      <c r="D50" t="inlineStr">
        <is>
          <t>Meraki</t>
        </is>
      </c>
      <c r="E50" t="inlineStr">
        <is>
          <t>BCS/LCS</t>
        </is>
      </c>
      <c r="F50" t="inlineStr">
        <is>
          <t>$500,000-$1M</t>
        </is>
      </c>
      <c r="G50" t="inlineStr">
        <is>
          <t>Yes</t>
        </is>
      </c>
      <c r="H50" t="inlineStr">
        <is>
          <t>3 Months</t>
        </is>
      </c>
      <c r="I50" t="inlineStr">
        <is>
          <t>Theater</t>
        </is>
      </c>
      <c r="J50" s="5">
        <f t="array" ref="J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 ht="16" customHeight="1">
      <c r="A51" t="inlineStr">
        <is>
          <t>NYCHHC</t>
        </is>
      </c>
      <c r="B51" s="7" t="inlineStr">
        <is>
          <t>Low</t>
        </is>
      </c>
      <c r="C51" t="inlineStr">
        <is>
          <t>GES-East</t>
        </is>
      </c>
      <c r="D51" t="inlineStr">
        <is>
          <t>ISE</t>
        </is>
      </c>
      <c r="E51" t="inlineStr">
        <is>
          <t>BCS/LCS</t>
        </is>
      </c>
      <c r="F51" t="inlineStr">
        <is>
          <t>$500,000-$1M</t>
        </is>
      </c>
      <c r="G51" t="inlineStr">
        <is>
          <t>Yes</t>
        </is>
      </c>
      <c r="H51" t="inlineStr">
        <is>
          <t>3 Months</t>
        </is>
      </c>
      <c r="I51" t="inlineStr">
        <is>
          <t>Theater</t>
        </is>
      </c>
      <c r="J51" s="5">
        <f t="array" ref="J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 ht="16" customHeight="1">
      <c r="A52" t="inlineStr">
        <is>
          <t>NYCHHC</t>
        </is>
      </c>
      <c r="B52" s="7" t="inlineStr">
        <is>
          <t>Low</t>
        </is>
      </c>
      <c r="C52" t="inlineStr">
        <is>
          <t>GES-East</t>
        </is>
      </c>
      <c r="D52" t="inlineStr">
        <is>
          <t>FMC</t>
        </is>
      </c>
      <c r="E52" t="inlineStr">
        <is>
          <t>BCS/LCS</t>
        </is>
      </c>
      <c r="F52" t="inlineStr">
        <is>
          <t>$500,000-$1M</t>
        </is>
      </c>
      <c r="G52" t="inlineStr">
        <is>
          <t>Yes</t>
        </is>
      </c>
      <c r="H52" t="inlineStr">
        <is>
          <t>6 Months</t>
        </is>
      </c>
      <c r="I52" t="inlineStr">
        <is>
          <t>Theater</t>
        </is>
      </c>
      <c r="J52" s="5">
        <f t="array" ref="J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 ht="16" customHeight="1">
      <c r="A53" t="inlineStr">
        <is>
          <t>Pfizer</t>
        </is>
      </c>
      <c r="B53" s="7" t="inlineStr">
        <is>
          <t>Low</t>
        </is>
      </c>
      <c r="C53" t="inlineStr">
        <is>
          <t>GES-East</t>
        </is>
      </c>
      <c r="D53" t="inlineStr">
        <is>
          <t>SD-WAN</t>
        </is>
      </c>
      <c r="E53" t="inlineStr">
        <is>
          <t>BCS/LCS</t>
        </is>
      </c>
      <c r="F53" t="inlineStr">
        <is>
          <t>$100,000-$500,000</t>
        </is>
      </c>
      <c r="G53" t="inlineStr">
        <is>
          <t>No</t>
        </is>
      </c>
      <c r="H53" t="inlineStr">
        <is>
          <t>6 Months</t>
        </is>
      </c>
      <c r="I53" t="inlineStr">
        <is>
          <t>Customer</t>
        </is>
      </c>
      <c r="J53" s="5">
        <f t="array" ref="J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53" t="inlineStr">
        <is>
          <t>Ramcharan Arya, James Dawkins</t>
        </is>
      </c>
      <c r="O53" t="inlineStr">
        <is>
          <t>No</t>
        </is>
      </c>
      <c r="P53" t="inlineStr">
        <is>
          <t>Parity exercise not completed</t>
        </is>
      </c>
    </row>
    <row r="54" ht="16" customHeight="1">
      <c r="A54" t="inlineStr">
        <is>
          <t>Pfizer</t>
        </is>
      </c>
      <c r="B54" s="7" t="inlineStr">
        <is>
          <t>Low</t>
        </is>
      </c>
      <c r="C54" t="inlineStr">
        <is>
          <t>GES-East</t>
        </is>
      </c>
      <c r="D54" t="inlineStr">
        <is>
          <t>Meraki</t>
        </is>
      </c>
      <c r="E54" t="inlineStr">
        <is>
          <t>BCS/LCS</t>
        </is>
      </c>
      <c r="F54" t="inlineStr">
        <is>
          <t>$100,000-$500,000</t>
        </is>
      </c>
      <c r="G54" t="inlineStr">
        <is>
          <t>No</t>
        </is>
      </c>
      <c r="H54" t="inlineStr">
        <is>
          <t>6 Months</t>
        </is>
      </c>
      <c r="I54" t="inlineStr">
        <is>
          <t>Customer</t>
        </is>
      </c>
      <c r="J54" s="5">
        <f t="array" ref="J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 ht="16" customHeight="1">
      <c r="A55" t="inlineStr">
        <is>
          <t>Pfizer</t>
        </is>
      </c>
      <c r="B55" s="7" t="inlineStr">
        <is>
          <t>Low</t>
        </is>
      </c>
      <c r="C55" t="inlineStr">
        <is>
          <t>GES-East</t>
        </is>
      </c>
      <c r="D55" t="inlineStr">
        <is>
          <t>ISE</t>
        </is>
      </c>
      <c r="E55" t="inlineStr">
        <is>
          <t>BCS/LCS</t>
        </is>
      </c>
      <c r="F55" t="inlineStr">
        <is>
          <t>$100,000-$500,000</t>
        </is>
      </c>
      <c r="G55" t="inlineStr">
        <is>
          <t>No</t>
        </is>
      </c>
      <c r="H55" t="inlineStr">
        <is>
          <t>6 Months</t>
        </is>
      </c>
      <c r="I55" t="inlineStr">
        <is>
          <t>Customer</t>
        </is>
      </c>
      <c r="J55" s="5">
        <f t="array" ref="J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 ht="16" customHeight="1">
      <c r="A56" t="inlineStr">
        <is>
          <t>Pfizer</t>
        </is>
      </c>
      <c r="B56" s="7" t="inlineStr">
        <is>
          <t>Low</t>
        </is>
      </c>
      <c r="C56" t="inlineStr">
        <is>
          <t>GES-East</t>
        </is>
      </c>
      <c r="D56" t="inlineStr">
        <is>
          <t>ACI</t>
        </is>
      </c>
      <c r="E56" t="inlineStr">
        <is>
          <t>BCS/LCS</t>
        </is>
      </c>
      <c r="F56" t="inlineStr">
        <is>
          <t>$100,000-$500,000</t>
        </is>
      </c>
      <c r="G56" t="inlineStr">
        <is>
          <t>No</t>
        </is>
      </c>
      <c r="H56" t="inlineStr">
        <is>
          <t>6 Months</t>
        </is>
      </c>
      <c r="I56" t="inlineStr">
        <is>
          <t>Customer</t>
        </is>
      </c>
      <c r="J56" s="5">
        <f t="array" ref="J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 ht="16" customHeight="1">
      <c r="A57" t="inlineStr">
        <is>
          <t>PNC Bank</t>
        </is>
      </c>
      <c r="B57" s="7" t="inlineStr">
        <is>
          <t>High</t>
        </is>
      </c>
      <c r="C57" t="inlineStr">
        <is>
          <t>GES-East</t>
        </is>
      </c>
      <c r="D57" t="inlineStr">
        <is>
          <t>NDFC</t>
        </is>
      </c>
      <c r="E57" t="inlineStr">
        <is>
          <t>BCS/LCS</t>
        </is>
      </c>
      <c r="F57" t="inlineStr">
        <is>
          <t>$500,000-$1M</t>
        </is>
      </c>
      <c r="G57" t="inlineStr">
        <is>
          <t>Yes</t>
        </is>
      </c>
      <c r="H57" t="inlineStr">
        <is>
          <t>1 Month</t>
        </is>
      </c>
      <c r="I57" t="inlineStr">
        <is>
          <t>Theater</t>
        </is>
      </c>
      <c r="J57" s="5">
        <f t="array" ref="J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57" t="inlineStr">
        <is>
          <t>Saurabh Sharma</t>
        </is>
      </c>
    </row>
    <row r="58" ht="16" customHeight="1">
      <c r="A58" t="inlineStr">
        <is>
          <t>PNC Bank</t>
        </is>
      </c>
      <c r="B58" s="7" t="inlineStr">
        <is>
          <t>High</t>
        </is>
      </c>
      <c r="C58" t="inlineStr">
        <is>
          <t>GES-East</t>
        </is>
      </c>
      <c r="D58" t="inlineStr">
        <is>
          <t>SD-WAN</t>
        </is>
      </c>
      <c r="E58" t="inlineStr">
        <is>
          <t>BCS/LCS</t>
        </is>
      </c>
      <c r="F58" t="inlineStr">
        <is>
          <t>$500,000-$1M</t>
        </is>
      </c>
      <c r="G58" t="inlineStr">
        <is>
          <t>Yes</t>
        </is>
      </c>
      <c r="H58" t="inlineStr">
        <is>
          <t>2 Month</t>
        </is>
      </c>
      <c r="I58" t="inlineStr">
        <is>
          <t>Theater</t>
        </is>
      </c>
      <c r="J58" s="5">
        <f t="array" ref="J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58" t="inlineStr">
        <is>
          <t>Saurabh Sharma</t>
        </is>
      </c>
      <c r="N58" t="inlineStr">
        <is>
          <t>Sinan Asig (sasig)</t>
        </is>
      </c>
      <c r="O58" t="inlineStr">
        <is>
          <t>No</t>
        </is>
      </c>
      <c r="P58" t="inlineStr">
        <is>
          <t>Parity (raw): N/A | Controller access (survey): No</t>
        </is>
      </c>
      <c r="Q58" s="17" t="n"/>
    </row>
    <row r="59" ht="16" customHeight="1">
      <c r="A59" t="inlineStr">
        <is>
          <t>Sanford Health</t>
        </is>
      </c>
      <c r="B59" s="7" t="inlineStr">
        <is>
          <t>High</t>
        </is>
      </c>
      <c r="C59" t="inlineStr">
        <is>
          <t>GES-Central</t>
        </is>
      </c>
      <c r="D59" t="inlineStr">
        <is>
          <t>SD-WAN</t>
        </is>
      </c>
      <c r="E59" t="inlineStr">
        <is>
          <t>PDI</t>
        </is>
      </c>
      <c r="F59" t="inlineStr">
        <is>
          <t>$100,000-$500,000</t>
        </is>
      </c>
      <c r="G59" t="inlineStr">
        <is>
          <t>Yes</t>
        </is>
      </c>
      <c r="H59" t="inlineStr">
        <is>
          <t>1 Month</t>
        </is>
      </c>
      <c r="I59" t="inlineStr">
        <is>
          <t>Theater</t>
        </is>
      </c>
      <c r="J59" s="5">
        <f t="array" ref="J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59" t="inlineStr">
        <is>
          <t>Anupam Dey, Aslam Mohammad</t>
        </is>
      </c>
      <c r="O59" t="inlineStr">
        <is>
          <t>No</t>
        </is>
      </c>
      <c r="P59" t="inlineStr">
        <is>
          <t>Parity exercise not completed</t>
        </is>
      </c>
    </row>
    <row r="60" ht="16" customHeight="1">
      <c r="A60" t="inlineStr">
        <is>
          <t>Sanford Health</t>
        </is>
      </c>
      <c r="B60" s="7" t="inlineStr">
        <is>
          <t>High</t>
        </is>
      </c>
      <c r="C60" t="inlineStr">
        <is>
          <t>GES-Central</t>
        </is>
      </c>
      <c r="D60" t="inlineStr">
        <is>
          <t>Cat-C/SDA</t>
        </is>
      </c>
      <c r="E60" t="inlineStr">
        <is>
          <t>PDI</t>
        </is>
      </c>
      <c r="F60" t="inlineStr">
        <is>
          <t>$100,000-$500,000</t>
        </is>
      </c>
      <c r="G60" t="inlineStr">
        <is>
          <t>Yes</t>
        </is>
      </c>
      <c r="H60" t="inlineStr">
        <is>
          <t>1 Month</t>
        </is>
      </c>
      <c r="I60" t="inlineStr">
        <is>
          <t>Theater</t>
        </is>
      </c>
      <c r="J60" s="5">
        <f t="array" ref="J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60" t="inlineStr">
        <is>
          <t>Pranav Patel, Jagadesh Nagaraj</t>
        </is>
      </c>
      <c r="O60" t="inlineStr">
        <is>
          <t>No</t>
        </is>
      </c>
      <c r="P60" t="inlineStr">
        <is>
          <t>Parity exercise not completed</t>
        </is>
      </c>
    </row>
    <row r="61" ht="16" customHeight="1">
      <c r="A61" t="inlineStr">
        <is>
          <t>SMBC</t>
        </is>
      </c>
      <c r="B61" s="7" t="inlineStr">
        <is>
          <t>Low</t>
        </is>
      </c>
      <c r="C61" t="inlineStr">
        <is>
          <t>GES-East</t>
        </is>
      </c>
      <c r="D61" t="inlineStr">
        <is>
          <t>ACI</t>
        </is>
      </c>
      <c r="E61" t="inlineStr">
        <is>
          <t>BCS/LCS</t>
        </is>
      </c>
      <c r="F61" t="inlineStr">
        <is>
          <t>$100,000-$500,000</t>
        </is>
      </c>
      <c r="G61" t="inlineStr">
        <is>
          <t>No</t>
        </is>
      </c>
      <c r="H61" t="inlineStr">
        <is>
          <t>6 Months</t>
        </is>
      </c>
      <c r="I61" t="inlineStr">
        <is>
          <t>Customer</t>
        </is>
      </c>
      <c r="J61" s="5">
        <f t="array" ref="J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61" t="inlineStr">
        <is>
          <t>Saurabh Sharma</t>
        </is>
      </c>
    </row>
    <row r="62" ht="16" customHeight="1">
      <c r="A62" t="inlineStr">
        <is>
          <t>SMBC</t>
        </is>
      </c>
      <c r="B62" s="7" t="inlineStr">
        <is>
          <t>Low</t>
        </is>
      </c>
      <c r="C62" t="inlineStr">
        <is>
          <t>GES-East</t>
        </is>
      </c>
      <c r="D62" t="inlineStr">
        <is>
          <t>SD-WAN</t>
        </is>
      </c>
      <c r="E62" t="inlineStr">
        <is>
          <t>BCS/LCS</t>
        </is>
      </c>
      <c r="F62" t="inlineStr">
        <is>
          <t>$100,000-$500,000</t>
        </is>
      </c>
      <c r="G62" t="inlineStr">
        <is>
          <t>No</t>
        </is>
      </c>
      <c r="H62" t="inlineStr">
        <is>
          <t>6 Months</t>
        </is>
      </c>
      <c r="I62" t="inlineStr">
        <is>
          <t>Customer</t>
        </is>
      </c>
      <c r="J62" s="5">
        <f t="array" ref="J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62" t="inlineStr">
        <is>
          <t>Saurabh Sharma</t>
        </is>
      </c>
      <c r="O62" t="inlineStr">
        <is>
          <t>No</t>
        </is>
      </c>
      <c r="P62" t="inlineStr">
        <is>
          <t>Parity exercise not completed</t>
        </is>
      </c>
    </row>
    <row r="63" ht="16" customHeight="1">
      <c r="A63" t="inlineStr">
        <is>
          <t>SMBC</t>
        </is>
      </c>
      <c r="B63" s="7" t="inlineStr">
        <is>
          <t>High</t>
        </is>
      </c>
      <c r="C63" t="inlineStr">
        <is>
          <t>GES-East</t>
        </is>
      </c>
      <c r="D63" t="inlineStr">
        <is>
          <t>ISE</t>
        </is>
      </c>
      <c r="E63" t="inlineStr">
        <is>
          <t>BCS/LCS</t>
        </is>
      </c>
      <c r="F63" t="inlineStr">
        <is>
          <t>$100,000-$500,000</t>
        </is>
      </c>
      <c r="G63" t="inlineStr">
        <is>
          <t>No</t>
        </is>
      </c>
      <c r="H63" t="inlineStr">
        <is>
          <t>6 Months</t>
        </is>
      </c>
      <c r="I63" t="inlineStr">
        <is>
          <t>Customer</t>
        </is>
      </c>
      <c r="J63" s="5">
        <f t="array" ref="J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63" t="inlineStr">
        <is>
          <t>Saurabh Sharma</t>
        </is>
      </c>
    </row>
    <row r="64" ht="16" customHeight="1">
      <c r="A64" t="inlineStr">
        <is>
          <t>SMBC</t>
        </is>
      </c>
      <c r="B64" s="7" t="inlineStr">
        <is>
          <t>Low</t>
        </is>
      </c>
      <c r="C64" t="inlineStr">
        <is>
          <t>GES-East</t>
        </is>
      </c>
      <c r="D64" t="inlineStr">
        <is>
          <t>Cat-C/SDA</t>
        </is>
      </c>
      <c r="E64" t="inlineStr">
        <is>
          <t>BCS/LCS</t>
        </is>
      </c>
      <c r="F64" t="inlineStr">
        <is>
          <t>$100,000-$500,000</t>
        </is>
      </c>
      <c r="G64" t="inlineStr">
        <is>
          <t>No</t>
        </is>
      </c>
      <c r="H64" t="inlineStr">
        <is>
          <t>6 Months</t>
        </is>
      </c>
      <c r="I64" t="inlineStr">
        <is>
          <t>Customer</t>
        </is>
      </c>
      <c r="J64" s="5">
        <f t="array" ref="J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64" t="inlineStr">
        <is>
          <t>Saurabh Sharma</t>
        </is>
      </c>
      <c r="O64" t="inlineStr">
        <is>
          <t>No</t>
        </is>
      </c>
      <c r="P64" t="inlineStr">
        <is>
          <t>Parity exercise not completed</t>
        </is>
      </c>
    </row>
    <row r="65" ht="16" customHeight="1">
      <c r="A65" t="inlineStr">
        <is>
          <t>Takeda</t>
        </is>
      </c>
      <c r="B65" s="7" t="inlineStr">
        <is>
          <t>High</t>
        </is>
      </c>
      <c r="C65" t="inlineStr">
        <is>
          <t>GES-East</t>
        </is>
      </c>
      <c r="D65" t="inlineStr">
        <is>
          <t>Cat-C/SDA</t>
        </is>
      </c>
      <c r="E65" t="inlineStr">
        <is>
          <t>BCS/LCS</t>
        </is>
      </c>
      <c r="F65" t="inlineStr">
        <is>
          <t>$100,000-$500,000</t>
        </is>
      </c>
      <c r="G65" t="inlineStr">
        <is>
          <t>Yes</t>
        </is>
      </c>
      <c r="H65" t="inlineStr">
        <is>
          <t>3 Months</t>
        </is>
      </c>
      <c r="I65" t="inlineStr">
        <is>
          <t>Theater</t>
        </is>
      </c>
      <c r="J65" s="5">
        <f t="array" ref="J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65" s="8" t="inlineStr">
        <is>
          <t>Identify New</t>
        </is>
      </c>
      <c r="L65" s="8" t="inlineStr">
        <is>
          <t>Sultan Ahmad</t>
        </is>
      </c>
      <c r="M65" s="8" t="n"/>
      <c r="N65" s="8" t="n"/>
      <c r="O65" s="8" t="inlineStr">
        <is>
          <t>No</t>
        </is>
      </c>
      <c r="P65" s="8" t="inlineStr">
        <is>
          <t>Parity exercise not completed</t>
        </is>
      </c>
      <c r="Q65" s="15" t="n"/>
    </row>
    <row r="66" ht="16" customHeight="1">
      <c r="A66" t="inlineStr">
        <is>
          <t>The Home Depot</t>
        </is>
      </c>
      <c r="B66" s="7" t="inlineStr">
        <is>
          <t>High</t>
        </is>
      </c>
      <c r="C66" t="inlineStr">
        <is>
          <t>GES-Premier</t>
        </is>
      </c>
      <c r="D66" t="inlineStr">
        <is>
          <t>SD-WAN</t>
        </is>
      </c>
      <c r="E66" t="inlineStr">
        <is>
          <t>CMS</t>
        </is>
      </c>
      <c r="F66" t="inlineStr">
        <is>
          <t>&lt;$100,000</t>
        </is>
      </c>
      <c r="G66" t="inlineStr">
        <is>
          <t>Yes</t>
        </is>
      </c>
      <c r="H66" t="inlineStr">
        <is>
          <t>1 Month</t>
        </is>
      </c>
      <c r="I66" t="inlineStr">
        <is>
          <t>Theater</t>
        </is>
      </c>
      <c r="J66" s="5">
        <f t="array" ref="J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66" t="inlineStr">
        <is>
          <t>Matt Coy, Jeff Hill, Syed Hasan</t>
        </is>
      </c>
      <c r="N66" t="inlineStr">
        <is>
          <t>Jeffery Hill (jeffhi)</t>
        </is>
      </c>
      <c r="O66" t="inlineStr">
        <is>
          <t>Yes</t>
        </is>
      </c>
      <c r="P66" t="inlineStr">
        <is>
          <t>Parity (raw): 100 | Report: https://cisco-my.sharepoint.com/personal/dhprajap_cisco_com/Documents/Apps/Microsoft%20Forms/Customer%20NaC%20Parity%20Database/Question/sdwan-report_thd_ol4_Jeffery%20Hill.pdf | Controller access (survey): Yes</t>
        </is>
      </c>
      <c r="Q66" s="17" t="n">
        <v>1</v>
      </c>
    </row>
    <row r="67" ht="16" customHeight="1">
      <c r="A67" t="inlineStr">
        <is>
          <t>The Home Depot</t>
        </is>
      </c>
      <c r="B67" s="7" t="inlineStr">
        <is>
          <t>Low</t>
        </is>
      </c>
      <c r="C67" t="inlineStr">
        <is>
          <t>GES-Premier</t>
        </is>
      </c>
      <c r="D67" t="inlineStr">
        <is>
          <t>IOS-XE</t>
        </is>
      </c>
      <c r="E67" t="inlineStr">
        <is>
          <t>CMS</t>
        </is>
      </c>
      <c r="F67" t="inlineStr">
        <is>
          <t>&lt;$100,000</t>
        </is>
      </c>
      <c r="G67" t="inlineStr">
        <is>
          <t>Yes</t>
        </is>
      </c>
      <c r="H67" t="inlineStr">
        <is>
          <t>3 Months</t>
        </is>
      </c>
      <c r="I67" t="inlineStr">
        <is>
          <t>Theater</t>
        </is>
      </c>
      <c r="J67" s="5">
        <f t="array" ref="J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 ht="16" customHeight="1">
      <c r="A68" t="inlineStr">
        <is>
          <t>UMMS</t>
        </is>
      </c>
      <c r="B68" s="7" t="inlineStr">
        <is>
          <t>Low</t>
        </is>
      </c>
      <c r="C68" t="inlineStr">
        <is>
          <t>GES-East</t>
        </is>
      </c>
      <c r="D68" t="inlineStr">
        <is>
          <t>SD-WAN</t>
        </is>
      </c>
      <c r="E68" t="inlineStr">
        <is>
          <t>None</t>
        </is>
      </c>
      <c r="F68" t="inlineStr">
        <is>
          <t>$500,000-$1M</t>
        </is>
      </c>
      <c r="G68" t="inlineStr">
        <is>
          <t>No</t>
        </is>
      </c>
      <c r="H68" t="inlineStr">
        <is>
          <t>9 Months</t>
        </is>
      </c>
      <c r="I68" t="inlineStr">
        <is>
          <t>Theater</t>
        </is>
      </c>
      <c r="J68" s="5">
        <f t="array" ref="J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68" t="inlineStr">
        <is>
          <t>No</t>
        </is>
      </c>
      <c r="P68" t="inlineStr">
        <is>
          <t>Parity exercise not completed</t>
        </is>
      </c>
    </row>
    <row r="69" ht="16" customHeight="1">
      <c r="A69" t="inlineStr">
        <is>
          <t>UMMS</t>
        </is>
      </c>
      <c r="B69" s="7" t="inlineStr">
        <is>
          <t>Low</t>
        </is>
      </c>
      <c r="C69" t="inlineStr">
        <is>
          <t>GES-East</t>
        </is>
      </c>
      <c r="D69" t="inlineStr">
        <is>
          <t>Cat-C/SDA</t>
        </is>
      </c>
      <c r="E69" t="inlineStr">
        <is>
          <t>None</t>
        </is>
      </c>
      <c r="F69" t="inlineStr">
        <is>
          <t>$500,000-$1M</t>
        </is>
      </c>
      <c r="G69" t="inlineStr">
        <is>
          <t>No</t>
        </is>
      </c>
      <c r="H69" t="inlineStr">
        <is>
          <t>9 Months</t>
        </is>
      </c>
      <c r="I69" t="inlineStr">
        <is>
          <t>Theater</t>
        </is>
      </c>
      <c r="J69" s="5">
        <f t="array" ref="J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69" t="inlineStr">
        <is>
          <t>No</t>
        </is>
      </c>
      <c r="P69" t="inlineStr">
        <is>
          <t>Parity exercise not completed</t>
        </is>
      </c>
    </row>
    <row r="70" ht="34" customHeight="1">
      <c r="A70" t="inlineStr">
        <is>
          <t>MGM</t>
        </is>
      </c>
      <c r="B70" s="7" t="inlineStr">
        <is>
          <t>High</t>
        </is>
      </c>
      <c r="C70" t="inlineStr">
        <is>
          <t>GES-West</t>
        </is>
      </c>
      <c r="D70" t="inlineStr">
        <is>
          <t>ISE</t>
        </is>
      </c>
      <c r="E70" t="inlineStr">
        <is>
          <t>BCS/LCS</t>
        </is>
      </c>
      <c r="F70" t="inlineStr">
        <is>
          <t>&gt;$1M</t>
        </is>
      </c>
      <c r="G70" t="inlineStr">
        <is>
          <t>Yes</t>
        </is>
      </c>
      <c r="H70" t="inlineStr">
        <is>
          <t>3 Months</t>
        </is>
      </c>
      <c r="I70" t="inlineStr">
        <is>
          <t>Theater</t>
        </is>
      </c>
      <c r="J70" s="5">
        <f t="array" ref="J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R70" t="inlineStr">
        <is>
          <t>Demo to customer in Jan 2026</t>
        </is>
      </c>
      <c r="S70" s="11" t="inlineStr">
        <is>
          <t>SaaC deployed in lab enviroment and in testing. CX is recommending using it for Patch10 upgrade</t>
        </is>
      </c>
    </row>
    <row r="71" ht="16" customHeight="1">
      <c r="A71" t="inlineStr">
        <is>
          <t>Humana</t>
        </is>
      </c>
      <c r="J71" s="5">
        <f t="array" ref="J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 ht="16" customHeight="1">
      <c r="A72" t="inlineStr">
        <is>
          <t>State Street</t>
        </is>
      </c>
      <c r="C72" t="inlineStr">
        <is>
          <t>GES-East</t>
        </is>
      </c>
      <c r="E72" t="inlineStr">
        <is>
          <t>BCS/LCS</t>
        </is>
      </c>
      <c r="G72" t="inlineStr">
        <is>
          <t>Yes</t>
        </is>
      </c>
      <c r="J72" s="5">
        <f t="array" ref="J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72" t="inlineStr">
        <is>
          <t>Jim Phillipo</t>
        </is>
      </c>
    </row>
    <row r="73" ht="16" customHeight="1">
      <c r="A73" t="inlineStr">
        <is>
          <t>Truist</t>
        </is>
      </c>
      <c r="C73" t="inlineStr">
        <is>
          <t>GES-Premier</t>
        </is>
      </c>
      <c r="D73" t="inlineStr">
        <is>
          <t>NDFC</t>
        </is>
      </c>
      <c r="J73" s="5">
        <f t="array" ref="J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 ht="16" customHeight="1">
      <c r="A74" t="inlineStr">
        <is>
          <t>IBM</t>
        </is>
      </c>
      <c r="C74" t="inlineStr">
        <is>
          <t>GES-Premier</t>
        </is>
      </c>
      <c r="D74" t="inlineStr">
        <is>
          <t>SD-WAN</t>
        </is>
      </c>
      <c r="J74" s="5">
        <f t="array" ref="J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74" t="inlineStr">
        <is>
          <t>No</t>
        </is>
      </c>
      <c r="P74" t="inlineStr">
        <is>
          <t>Parity exercise not completed</t>
        </is>
      </c>
    </row>
    <row r="75" ht="16" customHeight="1">
      <c r="A75" t="inlineStr">
        <is>
          <t>IBM</t>
        </is>
      </c>
      <c r="C75" t="inlineStr">
        <is>
          <t>GES-Premier</t>
        </is>
      </c>
      <c r="D75" t="inlineStr">
        <is>
          <t>Cat-C/SDA</t>
        </is>
      </c>
      <c r="J75" s="5">
        <f t="array" ref="J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75" t="inlineStr">
        <is>
          <t>No</t>
        </is>
      </c>
      <c r="P75" t="inlineStr">
        <is>
          <t>Parity exercise not completed</t>
        </is>
      </c>
    </row>
    <row r="76" ht="16" customHeight="1">
      <c r="A76" t="inlineStr">
        <is>
          <t>IBM</t>
        </is>
      </c>
      <c r="C76" t="inlineStr">
        <is>
          <t>GES-Premier</t>
        </is>
      </c>
      <c r="D76" t="inlineStr">
        <is>
          <t>ACI</t>
        </is>
      </c>
      <c r="J76" s="5">
        <f t="array" ref="J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 ht="16" customHeight="1">
      <c r="A77" t="inlineStr">
        <is>
          <t>IBM</t>
        </is>
      </c>
      <c r="C77" t="inlineStr">
        <is>
          <t>GES-Premier</t>
        </is>
      </c>
      <c r="D77" t="inlineStr">
        <is>
          <t>NDFC</t>
        </is>
      </c>
      <c r="J77" s="5">
        <f t="array" ref="J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 ht="16" customHeight="1">
      <c r="A78" t="inlineStr">
        <is>
          <t>IBM</t>
        </is>
      </c>
      <c r="C78" t="inlineStr">
        <is>
          <t>GES-Premier</t>
        </is>
      </c>
      <c r="D78" t="inlineStr">
        <is>
          <t>IOS-XE</t>
        </is>
      </c>
      <c r="J78" s="5">
        <f t="array" ref="J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 ht="16" customHeight="1">
      <c r="A79" t="inlineStr">
        <is>
          <t>IBM</t>
        </is>
      </c>
      <c r="C79" t="inlineStr">
        <is>
          <t>GES-Premier</t>
        </is>
      </c>
      <c r="D79" t="inlineStr">
        <is>
          <t>IOS-XR</t>
        </is>
      </c>
      <c r="J79" s="5">
        <f t="array" ref="J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 ht="16" customHeight="1">
      <c r="A80" t="inlineStr">
        <is>
          <t>IBM</t>
        </is>
      </c>
      <c r="C80" t="inlineStr">
        <is>
          <t>GES-Premier</t>
        </is>
      </c>
      <c r="D80" t="inlineStr">
        <is>
          <t>NX-OS</t>
        </is>
      </c>
      <c r="J80" s="5">
        <f t="array" ref="J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 ht="16" customHeight="1">
      <c r="A81" t="inlineStr">
        <is>
          <t>IBM</t>
        </is>
      </c>
      <c r="C81" t="inlineStr">
        <is>
          <t>GES-Premier</t>
        </is>
      </c>
      <c r="D81" t="inlineStr">
        <is>
          <t>ISE</t>
        </is>
      </c>
      <c r="J81" s="5">
        <f t="array" ref="J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 ht="16" customHeight="1">
      <c r="A82" t="inlineStr">
        <is>
          <t>IBM</t>
        </is>
      </c>
      <c r="C82" t="inlineStr">
        <is>
          <t>GES-Premier</t>
        </is>
      </c>
      <c r="D82" t="inlineStr">
        <is>
          <t>FMC</t>
        </is>
      </c>
      <c r="J82" s="5">
        <f t="array" ref="J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 ht="16" customHeight="1">
      <c r="A83" t="inlineStr">
        <is>
          <t>IBM</t>
        </is>
      </c>
      <c r="C83" t="inlineStr">
        <is>
          <t>GES-Premier</t>
        </is>
      </c>
      <c r="D83" t="inlineStr">
        <is>
          <t>Meraki</t>
        </is>
      </c>
      <c r="J83" s="5">
        <f t="array" ref="J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 ht="238" customHeight="1">
      <c r="A84" t="inlineStr">
        <is>
          <t>Nationwide</t>
        </is>
      </c>
      <c r="J84" s="5">
        <f t="array" ref="J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R84" s="11" t="inlineStr">
        <is>
          <t>• 1.12.26 - SB "Nationwide: they will be going to 17.15 with a plan for UX2.0.  In addition, the primary engineer at NW has interest in As Code since they already use IaC for ACI, so we will be having discussions and evaluating the feasibility for SDWAN as Code.
• 1.26.26 - SB "Nationwide: Based on feedback from NW management and their success with IaC for ACI, it looks promising that we will have a SDWAN as code migration.  There is an internal call scheduled next week with myself and the account/delivery team to discuss the opportunity.
• 2.2.26 - SB "had the internal meeting to discus NaC at NW. The account team plans on drafting up a quote for SDWAN services as code. In the meantime I will continue to engage with NW presenting the benefits of NaC and possibly a demo"</t>
        </is>
      </c>
    </row>
    <row r="85" ht="289" customHeight="1">
      <c r="A85" t="inlineStr">
        <is>
          <t>Carrier</t>
        </is>
      </c>
      <c r="J85" s="5">
        <f t="array" ref="J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R85" s="11" t="inlineStr">
        <is>
          <t>• 2.16.26 - AS "Carrier – “SDWAN as Code” internal discussion. Align internally on SDWAN-as-Code approach and prepare proposal options for Carrier.
 • Identified 3 possible offerings/approaches.
 • Antonio (PM) to help schedule internal review with Cisco architect before presenting to customer.
 • Internal SME sync scheduled Fri 2/13 (11:30–12:15).
Update:
Participated in the internal sync on Feb 11 to align on the SD-WAN as Code strategy for Carrier. Focused on preparing for customer inquiries regarding benefits and the learning curve. We are collaborating with Raul Gomez to leverage EMEA success stories and identify training boot camps to support this initiative. PM Daniel Reyes Moran will ensure that the team is prepared to present the new solution during the upcoming QBR (TBD).</t>
        </is>
      </c>
    </row>
    <row r="86" ht="16" customHeight="1">
      <c r="A86" t="inlineStr">
        <is>
          <t>Amex</t>
        </is>
      </c>
      <c r="C86" t="inlineStr">
        <is>
          <t>GES-Premier</t>
        </is>
      </c>
      <c r="J86" s="5">
        <f t="array" ref="J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 ht="16" customHeight="1">
      <c r="J87" s="5">
        <f t="array" ref="J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 ht="16" customHeight="1">
      <c r="J88" s="5">
        <f t="array" ref="J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 ht="16" customHeight="1">
      <c r="J89" s="5">
        <f t="array" ref="J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 ht="16" customHeight="1">
      <c r="J90" s="5">
        <f t="array" ref="J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 ht="16" customHeight="1">
      <c r="J91" s="5">
        <f t="array" ref="J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 ht="16" customHeight="1">
      <c r="J92" s="5">
        <f t="array" ref="J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 ht="16" customHeight="1">
      <c r="J93" s="5">
        <f t="array" ref="J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 ht="16" customHeight="1">
      <c r="J94" s="5">
        <f t="array" ref="J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 ht="16" customHeight="1">
      <c r="J95" s="5">
        <f t="array" ref="J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 ht="16" customHeight="1">
      <c r="J96" s="5">
        <f t="array" ref="J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 ht="16" customHeight="1">
      <c r="J97" s="5">
        <f t="array" ref="J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 ht="16" customHeight="1">
      <c r="J98" s="5">
        <f t="array" ref="J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 ht="16" customHeight="1">
      <c r="J99" s="5">
        <f t="array" ref="J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 ht="16" customHeight="1">
      <c r="J100" s="5">
        <f t="array" ref="J1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 ht="16" customHeight="1">
      <c r="J101" s="5">
        <f t="array" ref="J1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2" ht="16" customHeight="1">
      <c r="J102" s="5">
        <f t="array" ref="J1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3" ht="16" customHeight="1">
      <c r="J103" s="5">
        <f t="array" ref="J1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4" ht="16" customHeight="1">
      <c r="J104" s="5">
        <f t="array" ref="J1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5" ht="16" customHeight="1">
      <c r="J105" s="5">
        <f t="array" ref="J1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6" ht="16" customHeight="1">
      <c r="J106" s="5">
        <f t="array" ref="J1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7" ht="16" customHeight="1">
      <c r="J107" s="5">
        <f t="array" ref="J1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8" ht="16" customHeight="1">
      <c r="J108" s="5">
        <f t="array" ref="J1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9" ht="16" customHeight="1">
      <c r="J109" s="5">
        <f t="array" ref="J1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0" ht="16" customHeight="1">
      <c r="J110" s="5">
        <f t="array" ref="J1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1" ht="16" customHeight="1">
      <c r="J111" s="5">
        <f t="array" ref="J1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2" ht="16" customHeight="1">
      <c r="J112" s="5">
        <f t="array" ref="J1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3" ht="16" customHeight="1">
      <c r="J113" s="5">
        <f t="array" ref="J1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4" ht="16" customHeight="1">
      <c r="J114" s="5">
        <f t="array" ref="J1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5" ht="16" customHeight="1">
      <c r="J115" s="5">
        <f t="array" ref="J1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6" ht="16" customHeight="1">
      <c r="J116" s="5">
        <f t="array" ref="J1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7" ht="16" customHeight="1">
      <c r="J117" s="5">
        <f t="array" ref="J1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8" ht="16" customHeight="1">
      <c r="J118" s="5">
        <f t="array" ref="J1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19" ht="16" customHeight="1">
      <c r="J119" s="5">
        <f t="array" ref="J1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0" ht="16" customHeight="1">
      <c r="J120" s="5">
        <f t="array" ref="J1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1" ht="16" customHeight="1">
      <c r="J121" s="5">
        <f t="array" ref="J1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2" ht="16" customHeight="1">
      <c r="J122" s="5">
        <f t="array" ref="J1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3" ht="16" customHeight="1">
      <c r="J123" s="5">
        <f t="array" ref="J1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4" ht="16" customHeight="1">
      <c r="J124" s="5">
        <f t="array" ref="J1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5" ht="16" customHeight="1">
      <c r="J125" s="5">
        <f t="array" ref="J1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6" ht="16" customHeight="1">
      <c r="J126" s="5">
        <f t="array" ref="J1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7" ht="16" customHeight="1">
      <c r="J127" s="5">
        <f t="array" ref="J1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8" ht="16" customHeight="1">
      <c r="J128" s="5">
        <f t="array" ref="J1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29" ht="16" customHeight="1">
      <c r="J129" s="5">
        <f t="array" ref="J1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0" ht="16" customHeight="1">
      <c r="J130" s="5">
        <f t="array" ref="J1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1" ht="16" customHeight="1">
      <c r="J131" s="5">
        <f t="array" ref="J1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2" ht="16" customHeight="1">
      <c r="J132" s="5">
        <f t="array" ref="J1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3" ht="16" customHeight="1">
      <c r="J133" s="5">
        <f t="array" ref="J1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4" ht="16" customHeight="1">
      <c r="J134" s="5">
        <f t="array" ref="J1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5" ht="16" customHeight="1">
      <c r="J135" s="5">
        <f t="array" ref="J1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6" ht="16" customHeight="1">
      <c r="J136" s="5">
        <f t="array" ref="J1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7" ht="16" customHeight="1">
      <c r="J137" s="5">
        <f t="array" ref="J1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8" ht="16" customHeight="1">
      <c r="J138" s="5">
        <f t="array" ref="J1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39" ht="16" customHeight="1">
      <c r="J139" s="5">
        <f t="array" ref="J1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0" ht="16" customHeight="1">
      <c r="J140" s="5">
        <f t="array" ref="J1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1" ht="16" customHeight="1">
      <c r="J141" s="5">
        <f t="array" ref="J1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2" ht="16" customHeight="1">
      <c r="J142" s="5">
        <f t="array" ref="J1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3" ht="16" customHeight="1">
      <c r="J143" s="5">
        <f t="array" ref="J1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4" ht="16" customHeight="1">
      <c r="J144" s="5">
        <f t="array" ref="J1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5" ht="16" customHeight="1">
      <c r="J145" s="5">
        <f t="array" ref="J1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6" ht="16" customHeight="1">
      <c r="J146" s="5">
        <f t="array" ref="J1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7" ht="16" customHeight="1">
      <c r="J147" s="5">
        <f t="array" ref="J1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8" ht="16" customHeight="1">
      <c r="J148" s="5">
        <f t="array" ref="J1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49" ht="16" customHeight="1">
      <c r="J149" s="5">
        <f t="array" ref="J1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0" ht="16" customHeight="1">
      <c r="J150" s="5">
        <f t="array" ref="J1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1" ht="16" customHeight="1">
      <c r="J151" s="5">
        <f t="array" ref="J1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2" ht="16" customHeight="1">
      <c r="J152" s="5">
        <f t="array" ref="J1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3" ht="16" customHeight="1">
      <c r="J153" s="5">
        <f t="array" ref="J1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4" ht="16" customHeight="1">
      <c r="J154" s="5">
        <f t="array" ref="J1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5" ht="16" customHeight="1">
      <c r="J155" s="5">
        <f t="array" ref="J1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6" ht="16" customHeight="1">
      <c r="J156" s="5">
        <f t="array" ref="J1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7" ht="16" customHeight="1">
      <c r="J157" s="5">
        <f t="array" ref="J1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8" ht="16" customHeight="1">
      <c r="J158" s="5">
        <f t="array" ref="J1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59" ht="16" customHeight="1">
      <c r="J159" s="5">
        <f t="array" ref="J1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0" ht="16" customHeight="1">
      <c r="J160" s="5">
        <f t="array" ref="J1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1" ht="16" customHeight="1">
      <c r="J161" s="5">
        <f t="array" ref="J1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2" ht="16" customHeight="1">
      <c r="J162" s="5">
        <f t="array" ref="J1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3" ht="16" customHeight="1">
      <c r="J163" s="5">
        <f t="array" ref="J1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4" ht="16" customHeight="1">
      <c r="J164" s="5">
        <f t="array" ref="J1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5" ht="16" customHeight="1">
      <c r="J165" s="5">
        <f t="array" ref="J1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6" ht="16" customHeight="1">
      <c r="J166" s="5">
        <f t="array" ref="J1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7" ht="16" customHeight="1">
      <c r="J167" s="5">
        <f t="array" ref="J1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8" ht="16" customHeight="1">
      <c r="J168" s="5">
        <f t="array" ref="J1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69" ht="16" customHeight="1">
      <c r="J169" s="5">
        <f t="array" ref="J1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0" ht="16" customHeight="1">
      <c r="J170" s="5">
        <f t="array" ref="J1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1" ht="16" customHeight="1">
      <c r="J171" s="5">
        <f t="array" ref="J1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2" ht="16" customHeight="1">
      <c r="J172" s="5">
        <f t="array" ref="J1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3" ht="16" customHeight="1">
      <c r="J173" s="5">
        <f t="array" ref="J1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4" ht="16" customHeight="1">
      <c r="J174" s="5">
        <f t="array" ref="J1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5" ht="16" customHeight="1">
      <c r="J175" s="5">
        <f t="array" ref="J1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6" ht="16" customHeight="1">
      <c r="J176" s="5">
        <f t="array" ref="J1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7" ht="16" customHeight="1">
      <c r="J177" s="5">
        <f t="array" ref="J1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8" ht="16" customHeight="1">
      <c r="J178" s="5">
        <f t="array" ref="J1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79" ht="16" customHeight="1">
      <c r="J179" s="5">
        <f t="array" ref="J1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0" ht="16" customHeight="1">
      <c r="J180" s="5">
        <f t="array" ref="J1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1" ht="16" customHeight="1">
      <c r="J181" s="5">
        <f t="array" ref="J1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2" ht="16" customHeight="1">
      <c r="J182" s="5">
        <f t="array" ref="J1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3" ht="16" customHeight="1">
      <c r="J183" s="5">
        <f t="array" ref="J1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4" ht="16" customHeight="1">
      <c r="J184" s="5">
        <f t="array" ref="J1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5" ht="16" customHeight="1">
      <c r="J185" s="5">
        <f t="array" ref="J1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6" ht="16" customHeight="1">
      <c r="J186" s="5">
        <f t="array" ref="J1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7" ht="16" customHeight="1">
      <c r="J187" s="5">
        <f t="array" ref="J1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8" ht="16" customHeight="1">
      <c r="J188" s="5">
        <f t="array" ref="J1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89" ht="16" customHeight="1">
      <c r="J189" s="5">
        <f t="array" ref="J1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0" ht="16" customHeight="1">
      <c r="J190" s="5">
        <f t="array" ref="J1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1" ht="16" customHeight="1">
      <c r="J191" s="5">
        <f t="array" ref="J1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2" ht="16" customHeight="1">
      <c r="J192" s="5">
        <f t="array" ref="J1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3" ht="16" customHeight="1">
      <c r="J193" s="5">
        <f t="array" ref="J1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4" ht="16" customHeight="1">
      <c r="J194" s="5">
        <f t="array" ref="J1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5" ht="16" customHeight="1">
      <c r="J195" s="5">
        <f t="array" ref="J1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6" ht="16" customHeight="1">
      <c r="J196" s="5">
        <f t="array" ref="J1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7" ht="16" customHeight="1">
      <c r="J197" s="5">
        <f t="array" ref="J1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8" ht="16" customHeight="1">
      <c r="J198" s="5">
        <f t="array" ref="J1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99" ht="16" customHeight="1">
      <c r="J199" s="5">
        <f t="array" ref="J1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0" ht="16" customHeight="1">
      <c r="J200" s="5">
        <f t="array" ref="J2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1" ht="16" customHeight="1">
      <c r="J201" s="5">
        <f t="array" ref="J2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2" ht="16" customHeight="1">
      <c r="J202" s="5">
        <f t="array" ref="J2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3" ht="16" customHeight="1">
      <c r="J203" s="5">
        <f t="array" ref="J2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4" ht="16" customHeight="1">
      <c r="J204" s="5">
        <f t="array" ref="J2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5" ht="16" customHeight="1">
      <c r="J205" s="5">
        <f t="array" ref="J2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6" ht="16" customHeight="1">
      <c r="J206" s="5">
        <f t="array" ref="J2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7" ht="16" customHeight="1">
      <c r="J207" s="5">
        <f t="array" ref="J2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8" ht="16" customHeight="1">
      <c r="J208" s="5">
        <f t="array" ref="J2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09" ht="16" customHeight="1">
      <c r="J209" s="5">
        <f t="array" ref="J2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0" ht="16" customHeight="1">
      <c r="J210" s="5">
        <f t="array" ref="J2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1" ht="16" customHeight="1">
      <c r="J211" s="5">
        <f t="array" ref="J2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2" ht="16" customHeight="1">
      <c r="J212" s="5">
        <f t="array" ref="J2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3" ht="16" customHeight="1">
      <c r="J213" s="5">
        <f t="array" ref="J2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4" ht="16" customHeight="1">
      <c r="J214" s="5">
        <f t="array" ref="J2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5" ht="16" customHeight="1">
      <c r="J215" s="5">
        <f t="array" ref="J2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6" ht="16" customHeight="1">
      <c r="J216" s="5">
        <f t="array" ref="J2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7" ht="16" customHeight="1">
      <c r="J217" s="5">
        <f t="array" ref="J2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8" ht="16" customHeight="1">
      <c r="J218" s="5">
        <f t="array" ref="J2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19" ht="16" customHeight="1">
      <c r="J219" s="5">
        <f t="array" ref="J2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0" ht="16" customHeight="1">
      <c r="J220" s="5">
        <f t="array" ref="J2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1" ht="16" customHeight="1">
      <c r="J221" s="5">
        <f t="array" ref="J2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2" ht="16" customHeight="1">
      <c r="J222" s="5">
        <f t="array" ref="J2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3" ht="16" customHeight="1">
      <c r="J223" s="5">
        <f t="array" ref="J2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4" ht="16" customHeight="1">
      <c r="J224" s="5">
        <f t="array" ref="J2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5" ht="16" customHeight="1">
      <c r="J225" s="5">
        <f t="array" ref="J2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6" ht="16" customHeight="1">
      <c r="J226" s="5">
        <f t="array" ref="J2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7" ht="16" customHeight="1">
      <c r="J227" s="5">
        <f t="array" ref="J2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8" ht="16" customHeight="1">
      <c r="J228" s="5">
        <f t="array" ref="J2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29" ht="16" customHeight="1">
      <c r="J229" s="5">
        <f t="array" ref="J2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0" ht="16" customHeight="1">
      <c r="J230" s="5">
        <f t="array" ref="J2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1" ht="16" customHeight="1">
      <c r="J231" s="5">
        <f t="array" ref="J2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2" ht="16" customHeight="1">
      <c r="J232" s="5">
        <f t="array" ref="J2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3" ht="16" customHeight="1">
      <c r="J233" s="5">
        <f t="array" ref="J2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4" ht="16" customHeight="1">
      <c r="J234" s="5">
        <f t="array" ref="J2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5" ht="16" customHeight="1">
      <c r="J235" s="5">
        <f t="array" ref="J2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6" ht="16" customHeight="1">
      <c r="J236" s="5">
        <f t="array" ref="J2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7" ht="16" customHeight="1">
      <c r="J237" s="5">
        <f t="array" ref="J2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8" ht="16" customHeight="1">
      <c r="J238" s="5">
        <f t="array" ref="J2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39" ht="16" customHeight="1">
      <c r="J239" s="5">
        <f t="array" ref="J2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0" ht="16" customHeight="1">
      <c r="J240" s="5">
        <f t="array" ref="J2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1" ht="16" customHeight="1">
      <c r="J241" s="5">
        <f t="array" ref="J2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2" ht="16" customHeight="1">
      <c r="J242" s="5">
        <f t="array" ref="J2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3" ht="16" customHeight="1">
      <c r="J243" s="5">
        <f t="array" ref="J2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4" ht="16" customHeight="1">
      <c r="J244" s="5">
        <f t="array" ref="J2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5" ht="16" customHeight="1">
      <c r="J245" s="5">
        <f t="array" ref="J2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6" ht="16" customHeight="1">
      <c r="J246" s="5">
        <f t="array" ref="J2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7" ht="16" customHeight="1">
      <c r="J247" s="5">
        <f t="array" ref="J2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8" ht="16" customHeight="1">
      <c r="J248" s="5">
        <f t="array" ref="J2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49" ht="16" customHeight="1">
      <c r="J249" s="5">
        <f t="array" ref="J2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0" ht="16" customHeight="1">
      <c r="J250" s="5">
        <f t="array" ref="J2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1" ht="16" customHeight="1">
      <c r="J251" s="5">
        <f t="array" ref="J2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2" ht="16" customHeight="1">
      <c r="J252" s="5">
        <f t="array" ref="J2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3" ht="16" customHeight="1">
      <c r="J253" s="5">
        <f t="array" ref="J2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4" ht="16" customHeight="1">
      <c r="J254" s="5">
        <f t="array" ref="J2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5" ht="16" customHeight="1">
      <c r="J255" s="5">
        <f t="array" ref="J2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6" ht="16" customHeight="1">
      <c r="J256" s="5">
        <f t="array" ref="J2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7" ht="16" customHeight="1">
      <c r="J257" s="5">
        <f t="array" ref="J2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8" ht="16" customHeight="1">
      <c r="J258" s="5">
        <f t="array" ref="J2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59" ht="16" customHeight="1">
      <c r="J259" s="5">
        <f t="array" ref="J2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0" ht="16" customHeight="1">
      <c r="J260" s="5">
        <f t="array" ref="J2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1" ht="16" customHeight="1">
      <c r="J261" s="5">
        <f t="array" ref="J2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2" ht="16" customHeight="1">
      <c r="J262" s="5">
        <f t="array" ref="J2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3" ht="16" customHeight="1">
      <c r="J263" s="5">
        <f t="array" ref="J2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4" ht="16" customHeight="1">
      <c r="J264" s="5">
        <f t="array" ref="J2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5" ht="16" customHeight="1">
      <c r="J265" s="5">
        <f t="array" ref="J2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6" ht="16" customHeight="1">
      <c r="J266" s="5">
        <f t="array" ref="J2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7" ht="16" customHeight="1">
      <c r="J267" s="5">
        <f t="array" ref="J2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8" ht="16" customHeight="1">
      <c r="J268" s="5">
        <f t="array" ref="J2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69" ht="16" customHeight="1">
      <c r="J269" s="5">
        <f t="array" ref="J2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0" ht="16" customHeight="1">
      <c r="J270" s="5">
        <f t="array" ref="J2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1" ht="16" customHeight="1">
      <c r="J271" s="5">
        <f t="array" ref="J2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2" ht="16" customHeight="1">
      <c r="J272" s="5">
        <f t="array" ref="J2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3" ht="16" customHeight="1">
      <c r="J273" s="5">
        <f t="array" ref="J2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4" ht="16" customHeight="1">
      <c r="J274" s="5">
        <f t="array" ref="J2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5" ht="16" customHeight="1">
      <c r="J275" s="5">
        <f t="array" ref="J2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6" ht="16" customHeight="1">
      <c r="J276" s="5">
        <f t="array" ref="J2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7" ht="16" customHeight="1">
      <c r="J277" s="5">
        <f t="array" ref="J2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8" ht="16" customHeight="1">
      <c r="J278" s="5">
        <f t="array" ref="J2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79" ht="16" customHeight="1">
      <c r="J279" s="5">
        <f t="array" ref="J2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0" ht="16" customHeight="1">
      <c r="J280" s="5">
        <f t="array" ref="J2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1" ht="16" customHeight="1">
      <c r="J281" s="5">
        <f t="array" ref="J2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2" ht="16" customHeight="1">
      <c r="J282" s="5">
        <f t="array" ref="J2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3" ht="16" customHeight="1">
      <c r="J283" s="5">
        <f t="array" ref="J2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4" ht="16" customHeight="1">
      <c r="J284" s="5">
        <f t="array" ref="J2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5" ht="16" customHeight="1">
      <c r="J285" s="5">
        <f t="array" ref="J2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6" ht="16" customHeight="1">
      <c r="J286" s="5">
        <f t="array" ref="J2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7" ht="16" customHeight="1">
      <c r="J287" s="5">
        <f t="array" ref="J2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8" ht="16" customHeight="1">
      <c r="J288" s="5">
        <f t="array" ref="J2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89" ht="16" customHeight="1">
      <c r="J289" s="5">
        <f t="array" ref="J2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0" ht="16" customHeight="1">
      <c r="J290" s="5">
        <f t="array" ref="J2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1" ht="16" customHeight="1">
      <c r="J291" s="5">
        <f t="array" ref="J2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2" ht="16" customHeight="1">
      <c r="J292" s="5">
        <f t="array" ref="J2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3" ht="16" customHeight="1">
      <c r="J293" s="5">
        <f t="array" ref="J2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4" ht="16" customHeight="1">
      <c r="J294" s="5">
        <f t="array" ref="J2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5" ht="16" customHeight="1">
      <c r="J295" s="5">
        <f t="array" ref="J2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6" ht="16" customHeight="1">
      <c r="J296" s="5">
        <f t="array" ref="J2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7" ht="16" customHeight="1">
      <c r="J297" s="5">
        <f t="array" ref="J2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8" ht="16" customHeight="1">
      <c r="J298" s="5">
        <f t="array" ref="J2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299" ht="16" customHeight="1">
      <c r="J299" s="5">
        <f t="array" ref="J2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0" ht="16" customHeight="1">
      <c r="J300" s="5">
        <f t="array" ref="J3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1" ht="16" customHeight="1">
      <c r="J301" s="5">
        <f t="array" ref="J3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2" ht="16" customHeight="1">
      <c r="J302" s="5">
        <f t="array" ref="J3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3" ht="16" customHeight="1">
      <c r="J303" s="5">
        <f t="array" ref="J3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4" ht="16" customHeight="1">
      <c r="J304" s="5">
        <f t="array" ref="J3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5" ht="16" customHeight="1">
      <c r="J305" s="5">
        <f t="array" ref="J3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6" ht="16" customHeight="1">
      <c r="J306" s="5">
        <f t="array" ref="J3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7" ht="16" customHeight="1">
      <c r="J307" s="5">
        <f t="array" ref="J3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8" ht="16" customHeight="1">
      <c r="J308" s="5">
        <f t="array" ref="J3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09" ht="16" customHeight="1">
      <c r="J309" s="5">
        <f t="array" ref="J3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0" ht="16" customHeight="1">
      <c r="J310" s="5">
        <f t="array" ref="J3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1" ht="16" customHeight="1">
      <c r="J311" s="5">
        <f t="array" ref="J3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2" ht="16" customHeight="1">
      <c r="J312" s="5">
        <f t="array" ref="J3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3" ht="16" customHeight="1">
      <c r="J313" s="5">
        <f t="array" ref="J3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4" ht="16" customHeight="1">
      <c r="J314" s="5">
        <f t="array" ref="J3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5" ht="16" customHeight="1">
      <c r="J315" s="5">
        <f t="array" ref="J3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6" ht="16" customHeight="1">
      <c r="J316" s="5">
        <f t="array" ref="J3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7" ht="16" customHeight="1">
      <c r="J317" s="5">
        <f t="array" ref="J3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8" ht="16" customHeight="1">
      <c r="J318" s="5">
        <f t="array" ref="J3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19" ht="16" customHeight="1">
      <c r="J319" s="5">
        <f t="array" ref="J3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0" ht="16" customHeight="1">
      <c r="J320" s="5">
        <f t="array" ref="J3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1" ht="16" customHeight="1">
      <c r="J321" s="5">
        <f t="array" ref="J3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2" ht="16" customHeight="1">
      <c r="J322" s="5">
        <f t="array" ref="J3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3" ht="16" customHeight="1">
      <c r="J323" s="5">
        <f t="array" ref="J3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4" ht="16" customHeight="1">
      <c r="J324" s="5">
        <f t="array" ref="J3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5" ht="16" customHeight="1">
      <c r="J325" s="5">
        <f t="array" ref="J3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6" ht="16" customHeight="1">
      <c r="J326" s="5">
        <f t="array" ref="J3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7" ht="16" customHeight="1">
      <c r="J327" s="5">
        <f t="array" ref="J3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8" ht="16" customHeight="1">
      <c r="J328" s="5">
        <f t="array" ref="J3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29" ht="16" customHeight="1">
      <c r="J329" s="5">
        <f t="array" ref="J3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0" ht="16" customHeight="1">
      <c r="J330" s="5">
        <f t="array" ref="J3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1" ht="16" customHeight="1">
      <c r="J331" s="5">
        <f t="array" ref="J3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2" ht="16" customHeight="1">
      <c r="J332" s="5">
        <f t="array" ref="J3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3" ht="16" customHeight="1">
      <c r="J333" s="5">
        <f t="array" ref="J3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4" ht="16" customHeight="1">
      <c r="J334" s="5">
        <f t="array" ref="J3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5" ht="16" customHeight="1">
      <c r="J335" s="5">
        <f t="array" ref="J3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6" ht="16" customHeight="1">
      <c r="J336" s="5">
        <f t="array" ref="J3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7" ht="16" customHeight="1">
      <c r="J337" s="5">
        <f t="array" ref="J3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8" ht="16" customHeight="1">
      <c r="J338" s="5">
        <f t="array" ref="J3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39" ht="16" customHeight="1">
      <c r="J339" s="5">
        <f t="array" ref="J3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0" ht="16" customHeight="1">
      <c r="J340" s="5">
        <f t="array" ref="J3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1" ht="16" customHeight="1">
      <c r="J341" s="5">
        <f t="array" ref="J3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2" ht="16" customHeight="1">
      <c r="J342" s="5">
        <f t="array" ref="J3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3" ht="16" customHeight="1">
      <c r="J343" s="5">
        <f t="array" ref="J3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4" ht="16" customHeight="1">
      <c r="J344" s="5">
        <f t="array" ref="J3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5" ht="16" customHeight="1">
      <c r="J345" s="5">
        <f t="array" ref="J3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6" ht="16" customHeight="1">
      <c r="J346" s="5">
        <f t="array" ref="J3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7" ht="16" customHeight="1">
      <c r="J347" s="5">
        <f t="array" ref="J3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8" ht="16" customHeight="1">
      <c r="J348" s="5">
        <f t="array" ref="J3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49" ht="16" customHeight="1">
      <c r="J349" s="5">
        <f t="array" ref="J3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0" ht="16" customHeight="1">
      <c r="J350" s="5">
        <f t="array" ref="J3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1" ht="16" customHeight="1">
      <c r="J351" s="5">
        <f t="array" ref="J3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2" ht="16" customHeight="1">
      <c r="J352" s="5">
        <f t="array" ref="J3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3" ht="16" customHeight="1">
      <c r="J353" s="5">
        <f t="array" ref="J3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4" ht="16" customHeight="1">
      <c r="J354" s="5">
        <f t="array" ref="J3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5" ht="16" customHeight="1">
      <c r="J355" s="5">
        <f t="array" ref="J3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6" ht="16" customHeight="1">
      <c r="J356" s="5">
        <f t="array" ref="J3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7" ht="16" customHeight="1">
      <c r="J357" s="5">
        <f t="array" ref="J3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8" ht="16" customHeight="1">
      <c r="J358" s="5">
        <f t="array" ref="J3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59" ht="16" customHeight="1">
      <c r="J359" s="5">
        <f t="array" ref="J3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0" ht="16" customHeight="1">
      <c r="J360" s="5">
        <f t="array" ref="J3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1" ht="16" customHeight="1">
      <c r="J361" s="5">
        <f t="array" ref="J3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2" ht="16" customHeight="1">
      <c r="J362" s="5">
        <f t="array" ref="J3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3" ht="16" customHeight="1">
      <c r="J363" s="5">
        <f t="array" ref="J3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4" ht="16" customHeight="1">
      <c r="J364" s="5">
        <f t="array" ref="J3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5" ht="16" customHeight="1">
      <c r="J365" s="5">
        <f t="array" ref="J3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6" ht="16" customHeight="1">
      <c r="J366" s="5">
        <f t="array" ref="J3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7" ht="16" customHeight="1">
      <c r="J367" s="5">
        <f t="array" ref="J3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8" ht="16" customHeight="1">
      <c r="J368" s="5">
        <f t="array" ref="J3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69" ht="16" customHeight="1">
      <c r="J369" s="5">
        <f t="array" ref="J3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0" ht="16" customHeight="1">
      <c r="J370" s="5">
        <f t="array" ref="J3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1" ht="16" customHeight="1">
      <c r="J371" s="5">
        <f t="array" ref="J3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2" ht="16" customHeight="1">
      <c r="J372" s="5">
        <f t="array" ref="J3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3" ht="16" customHeight="1">
      <c r="J373" s="5">
        <f t="array" ref="J3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4" ht="16" customHeight="1">
      <c r="J374" s="5">
        <f t="array" ref="J3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5" ht="16" customHeight="1">
      <c r="J375" s="5">
        <f t="array" ref="J3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6" ht="16" customHeight="1">
      <c r="J376" s="5">
        <f t="array" ref="J3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7" ht="16" customHeight="1">
      <c r="J377" s="5">
        <f t="array" ref="J3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8" ht="16" customHeight="1">
      <c r="J378" s="5">
        <f t="array" ref="J3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79" ht="16" customHeight="1">
      <c r="J379" s="5">
        <f t="array" ref="J3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0" ht="16" customHeight="1">
      <c r="J380" s="5">
        <f t="array" ref="J3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1" ht="16" customHeight="1">
      <c r="J381" s="5">
        <f t="array" ref="J3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2" ht="16" customHeight="1">
      <c r="J382" s="5">
        <f t="array" ref="J3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3" ht="16" customHeight="1">
      <c r="J383" s="5">
        <f t="array" ref="J3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4" ht="16" customHeight="1">
      <c r="J384" s="5">
        <f t="array" ref="J3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5" ht="16" customHeight="1">
      <c r="J385" s="5">
        <f t="array" ref="J3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6" ht="16" customHeight="1">
      <c r="J386" s="5">
        <f t="array" ref="J3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7" ht="16" customHeight="1">
      <c r="J387" s="5">
        <f t="array" ref="J3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8" ht="16" customHeight="1">
      <c r="J388" s="5">
        <f t="array" ref="J3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89" ht="16" customHeight="1">
      <c r="J389" s="5">
        <f t="array" ref="J3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0" ht="16" customHeight="1">
      <c r="J390" s="5">
        <f t="array" ref="J3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1" ht="16" customHeight="1">
      <c r="J391" s="5">
        <f t="array" ref="J3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2" ht="16" customHeight="1">
      <c r="J392" s="5">
        <f t="array" ref="J3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3" ht="16" customHeight="1">
      <c r="J393" s="5">
        <f t="array" ref="J3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4" ht="16" customHeight="1">
      <c r="J394" s="5">
        <f t="array" ref="J3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5" ht="16" customHeight="1">
      <c r="J395" s="5">
        <f t="array" ref="J3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6" ht="16" customHeight="1">
      <c r="J396" s="5">
        <f t="array" ref="J3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7" ht="16" customHeight="1">
      <c r="J397" s="5">
        <f t="array" ref="J3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8" ht="16" customHeight="1">
      <c r="J398" s="5">
        <f t="array" ref="J3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399" ht="16" customHeight="1">
      <c r="J399" s="5">
        <f t="array" ref="J3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0" ht="16" customHeight="1">
      <c r="J400" s="5">
        <f t="array" ref="J4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1" ht="16" customHeight="1">
      <c r="J401" s="5">
        <f t="array" ref="J4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2" ht="16" customHeight="1">
      <c r="J402" s="5">
        <f t="array" ref="J4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3" ht="16" customHeight="1">
      <c r="J403" s="5">
        <f t="array" ref="J4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4" ht="16" customHeight="1">
      <c r="J404" s="5">
        <f t="array" ref="J4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5" ht="16" customHeight="1">
      <c r="J405" s="5">
        <f t="array" ref="J4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6" ht="16" customHeight="1">
      <c r="J406" s="5">
        <f t="array" ref="J4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7" ht="16" customHeight="1">
      <c r="J407" s="5">
        <f t="array" ref="J4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8" ht="16" customHeight="1">
      <c r="J408" s="5">
        <f t="array" ref="J4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09" ht="16" customHeight="1">
      <c r="J409" s="5">
        <f t="array" ref="J4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0" ht="16" customHeight="1">
      <c r="J410" s="5">
        <f t="array" ref="J4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1" ht="16" customHeight="1">
      <c r="J411" s="5">
        <f t="array" ref="J4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2" ht="16" customHeight="1">
      <c r="J412" s="5">
        <f t="array" ref="J4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3" ht="16" customHeight="1">
      <c r="J413" s="5">
        <f t="array" ref="J4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4" ht="16" customHeight="1">
      <c r="J414" s="5">
        <f t="array" ref="J4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5" ht="16" customHeight="1">
      <c r="J415" s="5">
        <f t="array" ref="J4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6" ht="16" customHeight="1">
      <c r="J416" s="5">
        <f t="array" ref="J4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7" ht="16" customHeight="1">
      <c r="J417" s="5">
        <f t="array" ref="J4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8" ht="16" customHeight="1">
      <c r="J418" s="5">
        <f t="array" ref="J4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19" ht="16" customHeight="1">
      <c r="J419" s="5">
        <f t="array" ref="J4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0" ht="16" customHeight="1">
      <c r="J420" s="5">
        <f t="array" ref="J4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1" ht="16" customHeight="1">
      <c r="J421" s="5">
        <f t="array" ref="J4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2" ht="16" customHeight="1">
      <c r="J422" s="5">
        <f t="array" ref="J4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3" ht="16" customHeight="1">
      <c r="J423" s="5">
        <f t="array" ref="J4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4" ht="16" customHeight="1">
      <c r="J424" s="5">
        <f t="array" ref="J4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5" ht="16" customHeight="1">
      <c r="J425" s="5">
        <f t="array" ref="J4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6" ht="16" customHeight="1">
      <c r="J426" s="5">
        <f t="array" ref="J4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7" ht="16" customHeight="1">
      <c r="J427" s="5">
        <f t="array" ref="J4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8" ht="16" customHeight="1">
      <c r="J428" s="5">
        <f t="array" ref="J4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29" ht="16" customHeight="1">
      <c r="J429" s="5">
        <f t="array" ref="J4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0" ht="16" customHeight="1">
      <c r="J430" s="5">
        <f t="array" ref="J4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1" ht="16" customHeight="1">
      <c r="J431" s="5">
        <f t="array" ref="J4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2" ht="16" customHeight="1">
      <c r="J432" s="5">
        <f t="array" ref="J4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3" ht="16" customHeight="1">
      <c r="J433" s="5">
        <f t="array" ref="J4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4" ht="16" customHeight="1">
      <c r="J434" s="5">
        <f t="array" ref="J4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5" ht="16" customHeight="1">
      <c r="J435" s="5">
        <f t="array" ref="J4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6" ht="16" customHeight="1">
      <c r="J436" s="5">
        <f t="array" ref="J4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7" ht="16" customHeight="1">
      <c r="J437" s="5">
        <f t="array" ref="J4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8" ht="16" customHeight="1">
      <c r="J438" s="5">
        <f t="array" ref="J4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39" ht="16" customHeight="1">
      <c r="J439" s="5">
        <f t="array" ref="J4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0" ht="16" customHeight="1">
      <c r="J440" s="5">
        <f t="array" ref="J4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1" ht="16" customHeight="1">
      <c r="J441" s="5">
        <f t="array" ref="J4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2" ht="16" customHeight="1">
      <c r="J442" s="5">
        <f t="array" ref="J4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3" ht="16" customHeight="1">
      <c r="J443" s="5">
        <f t="array" ref="J4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4" ht="16" customHeight="1">
      <c r="J444" s="5">
        <f t="array" ref="J4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5" ht="16" customHeight="1">
      <c r="J445" s="5">
        <f t="array" ref="J4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6" ht="16" customHeight="1">
      <c r="J446" s="5">
        <f t="array" ref="J4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7" ht="16" customHeight="1">
      <c r="J447" s="5">
        <f t="array" ref="J4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8" ht="16" customHeight="1">
      <c r="J448" s="5">
        <f t="array" ref="J4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49" ht="16" customHeight="1">
      <c r="J449" s="5">
        <f t="array" ref="J4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0" ht="16" customHeight="1">
      <c r="J450" s="5">
        <f t="array" ref="J4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1" ht="16" customHeight="1">
      <c r="J451" s="5">
        <f t="array" ref="J4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2" ht="16" customHeight="1">
      <c r="J452" s="5">
        <f t="array" ref="J4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3" ht="16" customHeight="1">
      <c r="J453" s="5">
        <f t="array" ref="J4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4" ht="16" customHeight="1">
      <c r="J454" s="5">
        <f t="array" ref="J4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5" ht="16" customHeight="1">
      <c r="J455" s="5">
        <f t="array" ref="J4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6" ht="16" customHeight="1">
      <c r="J456" s="5">
        <f t="array" ref="J4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7" ht="16" customHeight="1">
      <c r="J457" s="5">
        <f t="array" ref="J4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8" ht="16" customHeight="1">
      <c r="J458" s="5">
        <f t="array" ref="J4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59" ht="16" customHeight="1">
      <c r="J459" s="5">
        <f t="array" ref="J4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0" ht="16" customHeight="1">
      <c r="J460" s="5">
        <f t="array" ref="J4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1" ht="16" customHeight="1">
      <c r="J461" s="5">
        <f t="array" ref="J4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2" ht="16" customHeight="1">
      <c r="J462" s="5">
        <f t="array" ref="J4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3" ht="16" customHeight="1">
      <c r="J463" s="5">
        <f t="array" ref="J4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4" ht="16" customHeight="1">
      <c r="J464" s="5">
        <f t="array" ref="J4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5" ht="16" customHeight="1">
      <c r="J465" s="5">
        <f t="array" ref="J4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6" ht="16" customHeight="1">
      <c r="J466" s="5">
        <f t="array" ref="J4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7" ht="16" customHeight="1">
      <c r="J467" s="5">
        <f t="array" ref="J4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8" ht="16" customHeight="1">
      <c r="J468" s="5">
        <f t="array" ref="J4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69" ht="16" customHeight="1">
      <c r="J469" s="5">
        <f t="array" ref="J4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0" ht="16" customHeight="1">
      <c r="J470" s="5">
        <f t="array" ref="J4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1" ht="16" customHeight="1">
      <c r="J471" s="5">
        <f t="array" ref="J4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2" ht="16" customHeight="1">
      <c r="J472" s="5">
        <f t="array" ref="J4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3" ht="16" customHeight="1">
      <c r="J473" s="5">
        <f t="array" ref="J4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4" ht="16" customHeight="1">
      <c r="J474" s="5">
        <f t="array" ref="J4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5" ht="16" customHeight="1">
      <c r="J475" s="5">
        <f t="array" ref="J4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6" ht="16" customHeight="1">
      <c r="J476" s="5">
        <f t="array" ref="J4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7" ht="16" customHeight="1">
      <c r="J477" s="5">
        <f t="array" ref="J4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8" ht="16" customHeight="1">
      <c r="J478" s="5">
        <f t="array" ref="J4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79" ht="16" customHeight="1">
      <c r="J479" s="5">
        <f t="array" ref="J4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0" ht="16" customHeight="1">
      <c r="J480" s="5">
        <f t="array" ref="J4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1" ht="16" customHeight="1">
      <c r="J481" s="5">
        <f t="array" ref="J4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2" ht="16" customHeight="1">
      <c r="J482" s="5">
        <f t="array" ref="J4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3" ht="16" customHeight="1">
      <c r="J483" s="5">
        <f t="array" ref="J4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4" ht="16" customHeight="1">
      <c r="J484" s="5">
        <f t="array" ref="J4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5" ht="16" customHeight="1">
      <c r="J485" s="5">
        <f t="array" ref="J4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6" ht="16" customHeight="1">
      <c r="J486" s="5">
        <f t="array" ref="J4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7" ht="16" customHeight="1">
      <c r="J487" s="5">
        <f t="array" ref="J4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8" ht="16" customHeight="1">
      <c r="J488" s="5">
        <f t="array" ref="J4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89" ht="16" customHeight="1">
      <c r="J489" s="5">
        <f t="array" ref="J4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0" ht="16" customHeight="1">
      <c r="J490" s="5">
        <f t="array" ref="J4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1" ht="16" customHeight="1">
      <c r="J491" s="5">
        <f t="array" ref="J4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2" ht="16" customHeight="1">
      <c r="J492" s="5">
        <f t="array" ref="J4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3" ht="16" customHeight="1">
      <c r="J493" s="5">
        <f t="array" ref="J4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4" ht="16" customHeight="1">
      <c r="J494" s="5">
        <f t="array" ref="J4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5" ht="16" customHeight="1">
      <c r="J495" s="5">
        <f t="array" ref="J4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6" ht="16" customHeight="1">
      <c r="J496" s="5">
        <f t="array" ref="J4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7" ht="16" customHeight="1">
      <c r="J497" s="5">
        <f t="array" ref="J4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8" ht="16" customHeight="1">
      <c r="J498" s="5">
        <f t="array" ref="J4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499" ht="16" customHeight="1">
      <c r="J499" s="5">
        <f t="array" ref="J4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0" ht="16" customHeight="1">
      <c r="J500" s="5">
        <f t="array" ref="J5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1" ht="16" customHeight="1">
      <c r="J501" s="5">
        <f t="array" ref="J5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2" ht="16" customHeight="1">
      <c r="J502" s="5">
        <f t="array" ref="J5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3" ht="16" customHeight="1">
      <c r="J503" s="5">
        <f t="array" ref="J5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4" ht="16" customHeight="1">
      <c r="J504" s="5">
        <f t="array" ref="J5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5" ht="16" customHeight="1">
      <c r="J505" s="5">
        <f t="array" ref="J5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6" ht="16" customHeight="1">
      <c r="J506" s="5">
        <f t="array" ref="J5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7" ht="16" customHeight="1">
      <c r="J507" s="5">
        <f t="array" ref="J5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8" ht="16" customHeight="1">
      <c r="J508" s="5">
        <f t="array" ref="J5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09" ht="16" customHeight="1">
      <c r="J509" s="5">
        <f t="array" ref="J5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0" ht="16" customHeight="1">
      <c r="J510" s="5">
        <f t="array" ref="J5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1" ht="16" customHeight="1">
      <c r="J511" s="5">
        <f t="array" ref="J5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2" ht="16" customHeight="1">
      <c r="J512" s="5">
        <f t="array" ref="J5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3" ht="16" customHeight="1">
      <c r="J513" s="5">
        <f t="array" ref="J5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4" ht="16" customHeight="1">
      <c r="J514" s="5">
        <f t="array" ref="J5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5" ht="16" customHeight="1">
      <c r="J515" s="5">
        <f t="array" ref="J5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6" ht="16" customHeight="1">
      <c r="J516" s="5">
        <f t="array" ref="J5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7" ht="16" customHeight="1">
      <c r="J517" s="5">
        <f t="array" ref="J5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8" ht="16" customHeight="1">
      <c r="J518" s="5">
        <f t="array" ref="J5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19" ht="16" customHeight="1">
      <c r="J519" s="5">
        <f t="array" ref="J5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0" ht="16" customHeight="1">
      <c r="J520" s="5">
        <f t="array" ref="J5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1" ht="16" customHeight="1">
      <c r="J521" s="5">
        <f t="array" ref="J5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2" ht="16" customHeight="1">
      <c r="J522" s="5">
        <f t="array" ref="J5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3" ht="16" customHeight="1">
      <c r="J523" s="5">
        <f t="array" ref="J5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4" ht="16" customHeight="1">
      <c r="J524" s="5">
        <f t="array" ref="J5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5" ht="16" customHeight="1">
      <c r="J525" s="5">
        <f t="array" ref="J5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6" ht="16" customHeight="1">
      <c r="J526" s="5">
        <f t="array" ref="J5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7" ht="16" customHeight="1">
      <c r="J527" s="5">
        <f t="array" ref="J5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8" ht="16" customHeight="1">
      <c r="J528" s="5">
        <f t="array" ref="J5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29" ht="16" customHeight="1">
      <c r="J529" s="5">
        <f t="array" ref="J5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0" ht="16" customHeight="1">
      <c r="J530" s="5">
        <f t="array" ref="J5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1" ht="16" customHeight="1">
      <c r="J531" s="5">
        <f t="array" ref="J5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2" ht="16" customHeight="1">
      <c r="J532" s="5">
        <f t="array" ref="J5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3" ht="16" customHeight="1">
      <c r="J533" s="5">
        <f t="array" ref="J5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4" ht="16" customHeight="1">
      <c r="J534" s="5">
        <f t="array" ref="J5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5" ht="16" customHeight="1">
      <c r="J535" s="5">
        <f t="array" ref="J5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6" ht="16" customHeight="1">
      <c r="J536" s="5">
        <f t="array" ref="J5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7" ht="16" customHeight="1">
      <c r="J537" s="5">
        <f t="array" ref="J5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8" ht="16" customHeight="1">
      <c r="J538" s="5">
        <f t="array" ref="J5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39" ht="16" customHeight="1">
      <c r="J539" s="5">
        <f t="array" ref="J5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0" ht="16" customHeight="1">
      <c r="J540" s="5">
        <f t="array" ref="J5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1" ht="16" customHeight="1">
      <c r="J541" s="5">
        <f t="array" ref="J5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2" ht="16" customHeight="1">
      <c r="J542" s="5">
        <f t="array" ref="J5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3" ht="16" customHeight="1">
      <c r="J543" s="5">
        <f t="array" ref="J5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4" ht="16" customHeight="1">
      <c r="J544" s="5">
        <f t="array" ref="J5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5" ht="16" customHeight="1">
      <c r="J545" s="5">
        <f t="array" ref="J5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6" ht="16" customHeight="1">
      <c r="J546" s="5">
        <f t="array" ref="J5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7" ht="16" customHeight="1">
      <c r="J547" s="5">
        <f t="array" ref="J5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8" ht="16" customHeight="1">
      <c r="J548" s="5">
        <f t="array" ref="J5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49" ht="16" customHeight="1">
      <c r="J549" s="5">
        <f t="array" ref="J5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0" ht="16" customHeight="1">
      <c r="J550" s="5">
        <f t="array" ref="J5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1" ht="16" customHeight="1">
      <c r="J551" s="5">
        <f t="array" ref="J5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2" ht="16" customHeight="1">
      <c r="J552" s="5">
        <f t="array" ref="J5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3" ht="16" customHeight="1">
      <c r="J553" s="5">
        <f t="array" ref="J5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4" ht="16" customHeight="1">
      <c r="J554" s="5">
        <f t="array" ref="J5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5" ht="16" customHeight="1">
      <c r="J555" s="5">
        <f t="array" ref="J5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6" ht="16" customHeight="1">
      <c r="J556" s="5">
        <f t="array" ref="J5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7" ht="16" customHeight="1">
      <c r="J557" s="5">
        <f t="array" ref="J5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8" ht="16" customHeight="1">
      <c r="J558" s="5">
        <f t="array" ref="J5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59" ht="16" customHeight="1">
      <c r="J559" s="5">
        <f t="array" ref="J5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0" ht="16" customHeight="1">
      <c r="J560" s="5">
        <f t="array" ref="J5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1" ht="16" customHeight="1">
      <c r="J561" s="5">
        <f t="array" ref="J5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2" ht="16" customHeight="1">
      <c r="J562" s="5">
        <f t="array" ref="J5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3" ht="16" customHeight="1">
      <c r="J563" s="5">
        <f t="array" ref="J5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4" ht="16" customHeight="1">
      <c r="J564" s="5">
        <f t="array" ref="J5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5" ht="16" customHeight="1">
      <c r="J565" s="5">
        <f t="array" ref="J5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6" ht="16" customHeight="1">
      <c r="J566" s="5">
        <f t="array" ref="J5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7" ht="16" customHeight="1">
      <c r="J567" s="5">
        <f t="array" ref="J5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8" ht="16" customHeight="1">
      <c r="J568" s="5">
        <f t="array" ref="J5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69" ht="16" customHeight="1">
      <c r="J569" s="5">
        <f t="array" ref="J5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0" ht="16" customHeight="1">
      <c r="J570" s="5">
        <f t="array" ref="J5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1" ht="16" customHeight="1">
      <c r="J571" s="5">
        <f t="array" ref="J5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2" ht="16" customHeight="1">
      <c r="J572" s="5">
        <f t="array" ref="J5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3" ht="16" customHeight="1">
      <c r="J573" s="5">
        <f t="array" ref="J5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4" ht="16" customHeight="1">
      <c r="J574" s="5">
        <f t="array" ref="J5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5" ht="16" customHeight="1">
      <c r="J575" s="5">
        <f t="array" ref="J5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6" ht="16" customHeight="1">
      <c r="J576" s="5">
        <f t="array" ref="J5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7" ht="16" customHeight="1">
      <c r="J577" s="5">
        <f t="array" ref="J5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8" ht="16" customHeight="1">
      <c r="J578" s="5">
        <f t="array" ref="J5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79" ht="16" customHeight="1">
      <c r="J579" s="5">
        <f t="array" ref="J5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0" ht="16" customHeight="1">
      <c r="J580" s="5">
        <f t="array" ref="J5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1" ht="16" customHeight="1">
      <c r="J581" s="5">
        <f t="array" ref="J5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2" ht="16" customHeight="1">
      <c r="J582" s="5">
        <f t="array" ref="J5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3" ht="16" customHeight="1">
      <c r="J583" s="5">
        <f t="array" ref="J5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4" ht="16" customHeight="1">
      <c r="J584" s="5">
        <f t="array" ref="J5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5" ht="16" customHeight="1">
      <c r="J585" s="5">
        <f t="array" ref="J5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6" ht="16" customHeight="1">
      <c r="J586" s="5">
        <f t="array" ref="J5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7" ht="16" customHeight="1">
      <c r="J587" s="5">
        <f t="array" ref="J5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8" ht="16" customHeight="1">
      <c r="J588" s="5">
        <f t="array" ref="J5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89" ht="16" customHeight="1">
      <c r="J589" s="5">
        <f t="array" ref="J5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0" ht="16" customHeight="1">
      <c r="J590" s="5">
        <f t="array" ref="J5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1" ht="16" customHeight="1">
      <c r="J591" s="5">
        <f t="array" ref="J5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2" ht="16" customHeight="1">
      <c r="J592" s="5">
        <f t="array" ref="J5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3" ht="16" customHeight="1">
      <c r="J593" s="5">
        <f t="array" ref="J5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4" ht="16" customHeight="1">
      <c r="J594" s="5">
        <f t="array" ref="J5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5" ht="16" customHeight="1">
      <c r="J595" s="5">
        <f t="array" ref="J5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6" ht="16" customHeight="1">
      <c r="J596" s="5">
        <f t="array" ref="J5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7" ht="16" customHeight="1">
      <c r="J597" s="5">
        <f t="array" ref="J5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8" ht="16" customHeight="1">
      <c r="J598" s="5">
        <f t="array" ref="J5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599" ht="16" customHeight="1">
      <c r="J599" s="5">
        <f t="array" ref="J5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0" ht="16" customHeight="1">
      <c r="J600" s="5">
        <f t="array" ref="J6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1" ht="16" customHeight="1">
      <c r="J601" s="5">
        <f t="array" ref="J6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2" ht="16" customHeight="1">
      <c r="J602" s="5">
        <f t="array" ref="J6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3" ht="16" customHeight="1">
      <c r="J603" s="5">
        <f t="array" ref="J6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4" ht="16" customHeight="1">
      <c r="J604" s="5">
        <f t="array" ref="J6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5" ht="16" customHeight="1">
      <c r="J605" s="5">
        <f t="array" ref="J6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6" ht="16" customHeight="1">
      <c r="J606" s="5">
        <f t="array" ref="J6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7" ht="16" customHeight="1">
      <c r="J607" s="5">
        <f t="array" ref="J6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8" ht="16" customHeight="1">
      <c r="J608" s="5">
        <f t="array" ref="J6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09" ht="16" customHeight="1">
      <c r="J609" s="5">
        <f t="array" ref="J6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0" ht="16" customHeight="1">
      <c r="J610" s="5">
        <f t="array" ref="J6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1" ht="16" customHeight="1">
      <c r="J611" s="5">
        <f t="array" ref="J6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2" ht="16" customHeight="1">
      <c r="J612" s="5">
        <f t="array" ref="J6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3" ht="16" customHeight="1">
      <c r="J613" s="5">
        <f t="array" ref="J6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4" ht="16" customHeight="1">
      <c r="J614" s="5">
        <f t="array" ref="J6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5" ht="16" customHeight="1">
      <c r="J615" s="5">
        <f t="array" ref="J6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6" ht="16" customHeight="1">
      <c r="J616" s="5">
        <f t="array" ref="J6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7" ht="16" customHeight="1">
      <c r="J617" s="5">
        <f t="array" ref="J6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8" ht="16" customHeight="1">
      <c r="J618" s="5">
        <f t="array" ref="J6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19" ht="16" customHeight="1">
      <c r="J619" s="5">
        <f t="array" ref="J6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0" ht="16" customHeight="1">
      <c r="J620" s="5">
        <f t="array" ref="J6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1" ht="16" customHeight="1">
      <c r="J621" s="5">
        <f t="array" ref="J6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2" ht="16" customHeight="1">
      <c r="J622" s="5">
        <f t="array" ref="J6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3" ht="16" customHeight="1">
      <c r="J623" s="5">
        <f t="array" ref="J6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4" ht="16" customHeight="1">
      <c r="J624" s="5">
        <f t="array" ref="J6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5" ht="16" customHeight="1">
      <c r="J625" s="5">
        <f t="array" ref="J6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6" ht="16" customHeight="1">
      <c r="J626" s="5">
        <f t="array" ref="J6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7" ht="16" customHeight="1">
      <c r="J627" s="5">
        <f t="array" ref="J6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8" ht="16" customHeight="1">
      <c r="J628" s="5">
        <f t="array" ref="J6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29" ht="16" customHeight="1">
      <c r="J629" s="5">
        <f t="array" ref="J6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0" ht="16" customHeight="1">
      <c r="J630" s="5">
        <f t="array" ref="J6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1" ht="16" customHeight="1">
      <c r="J631" s="5">
        <f t="array" ref="J6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2" ht="16" customHeight="1">
      <c r="J632" s="5">
        <f t="array" ref="J6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3" ht="16" customHeight="1">
      <c r="J633" s="5">
        <f t="array" ref="J6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4" ht="16" customHeight="1">
      <c r="J634" s="5">
        <f t="array" ref="J6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5" ht="16" customHeight="1">
      <c r="J635" s="5">
        <f t="array" ref="J6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6" ht="16" customHeight="1">
      <c r="J636" s="5">
        <f t="array" ref="J6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7" ht="16" customHeight="1">
      <c r="J637" s="5">
        <f t="array" ref="J6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8" ht="16" customHeight="1">
      <c r="J638" s="5">
        <f t="array" ref="J6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39" ht="16" customHeight="1">
      <c r="J639" s="5">
        <f t="array" ref="J6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0" ht="16" customHeight="1">
      <c r="J640" s="5">
        <f t="array" ref="J6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1" ht="16" customHeight="1">
      <c r="J641" s="5">
        <f t="array" ref="J6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2" ht="16" customHeight="1">
      <c r="J642" s="5">
        <f t="array" ref="J6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3" ht="16" customHeight="1">
      <c r="J643" s="5">
        <f t="array" ref="J6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4" ht="16" customHeight="1">
      <c r="J644" s="5">
        <f t="array" ref="J6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5" ht="16" customHeight="1">
      <c r="J645" s="5">
        <f t="array" ref="J6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6" ht="16" customHeight="1">
      <c r="J646" s="5">
        <f t="array" ref="J6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7" ht="16" customHeight="1">
      <c r="J647" s="5">
        <f t="array" ref="J6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8" ht="16" customHeight="1">
      <c r="J648" s="5">
        <f t="array" ref="J6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49" ht="16" customHeight="1">
      <c r="J649" s="5">
        <f t="array" ref="J6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0" ht="16" customHeight="1">
      <c r="J650" s="5">
        <f t="array" ref="J6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1" ht="16" customHeight="1">
      <c r="J651" s="5">
        <f t="array" ref="J6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2" ht="16" customHeight="1">
      <c r="J652" s="5">
        <f t="array" ref="J6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3" ht="16" customHeight="1">
      <c r="J653" s="5">
        <f t="array" ref="J6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4" ht="16" customHeight="1">
      <c r="J654" s="5">
        <f t="array" ref="J6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5" ht="16" customHeight="1">
      <c r="J655" s="5">
        <f t="array" ref="J6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6" ht="16" customHeight="1">
      <c r="J656" s="5">
        <f t="array" ref="J6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7" ht="16" customHeight="1">
      <c r="J657" s="5">
        <f t="array" ref="J6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8" ht="16" customHeight="1">
      <c r="J658" s="5">
        <f t="array" ref="J6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59" ht="16" customHeight="1">
      <c r="J659" s="5">
        <f t="array" ref="J6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0" ht="16" customHeight="1">
      <c r="J660" s="5">
        <f t="array" ref="J6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1" ht="16" customHeight="1">
      <c r="J661" s="5">
        <f t="array" ref="J6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2" ht="16" customHeight="1">
      <c r="J662" s="5">
        <f t="array" ref="J6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3" ht="16" customHeight="1">
      <c r="J663" s="5">
        <f t="array" ref="J6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4" ht="16" customHeight="1">
      <c r="J664" s="5">
        <f t="array" ref="J6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5" ht="16" customHeight="1">
      <c r="J665" s="5">
        <f t="array" ref="J6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6" ht="16" customHeight="1">
      <c r="J666" s="5">
        <f t="array" ref="J6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7" ht="16" customHeight="1">
      <c r="J667" s="5">
        <f t="array" ref="J6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8" ht="16" customHeight="1">
      <c r="J668" s="5">
        <f t="array" ref="J6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69" ht="16" customHeight="1">
      <c r="J669" s="5">
        <f t="array" ref="J6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0" ht="16" customHeight="1">
      <c r="J670" s="5">
        <f t="array" ref="J6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1" ht="16" customHeight="1">
      <c r="J671" s="5">
        <f t="array" ref="J6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2" ht="16" customHeight="1">
      <c r="J672" s="5">
        <f t="array" ref="J6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3" ht="16" customHeight="1">
      <c r="J673" s="5">
        <f t="array" ref="J6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4" ht="16" customHeight="1">
      <c r="J674" s="5">
        <f t="array" ref="J6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5" ht="16" customHeight="1">
      <c r="J675" s="5">
        <f t="array" ref="J6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6" ht="16" customHeight="1">
      <c r="J676" s="5">
        <f t="array" ref="J6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7" ht="16" customHeight="1">
      <c r="J677" s="5">
        <f t="array" ref="J6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8" ht="16" customHeight="1">
      <c r="J678" s="5">
        <f t="array" ref="J6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79" ht="16" customHeight="1">
      <c r="J679" s="5">
        <f t="array" ref="J6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0" ht="16" customHeight="1">
      <c r="J680" s="5">
        <f t="array" ref="J6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1" ht="16" customHeight="1">
      <c r="J681" s="5">
        <f t="array" ref="J6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2" ht="16" customHeight="1">
      <c r="J682" s="5">
        <f t="array" ref="J6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3" ht="16" customHeight="1">
      <c r="J683" s="5">
        <f t="array" ref="J6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4" ht="16" customHeight="1">
      <c r="J684" s="5">
        <f t="array" ref="J6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5" ht="16" customHeight="1">
      <c r="J685" s="5">
        <f t="array" ref="J6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6" ht="16" customHeight="1">
      <c r="J686" s="5">
        <f t="array" ref="J6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7" ht="16" customHeight="1">
      <c r="J687" s="5">
        <f t="array" ref="J6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8" ht="16" customHeight="1">
      <c r="J688" s="5">
        <f t="array" ref="J6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89" ht="16" customHeight="1">
      <c r="J689" s="5">
        <f t="array" ref="J6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0" ht="16" customHeight="1">
      <c r="J690" s="5">
        <f t="array" ref="J6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1" ht="16" customHeight="1">
      <c r="J691" s="5">
        <f t="array" ref="J6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2" ht="16" customHeight="1">
      <c r="J692" s="5">
        <f t="array" ref="J6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3" ht="16" customHeight="1">
      <c r="J693" s="5">
        <f t="array" ref="J6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4" ht="16" customHeight="1">
      <c r="J694" s="5">
        <f t="array" ref="J6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5" ht="16" customHeight="1">
      <c r="J695" s="5">
        <f t="array" ref="J6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6" ht="16" customHeight="1">
      <c r="J696" s="5">
        <f t="array" ref="J6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7" ht="16" customHeight="1">
      <c r="J697" s="5">
        <f t="array" ref="J6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8" ht="16" customHeight="1">
      <c r="J698" s="5">
        <f t="array" ref="J6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699" ht="16" customHeight="1">
      <c r="J699" s="5">
        <f t="array" ref="J6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0" ht="16" customHeight="1">
      <c r="J700" s="5">
        <f t="array" ref="J7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1" ht="16" customHeight="1">
      <c r="J701" s="5">
        <f t="array" ref="J7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2" ht="16" customHeight="1">
      <c r="J702" s="5">
        <f t="array" ref="J7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3" ht="16" customHeight="1">
      <c r="J703" s="5">
        <f t="array" ref="J7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4" ht="16" customHeight="1">
      <c r="J704" s="5">
        <f t="array" ref="J7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5" ht="16" customHeight="1">
      <c r="J705" s="5">
        <f t="array" ref="J7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6" ht="16" customHeight="1">
      <c r="J706" s="5">
        <f t="array" ref="J7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7" ht="16" customHeight="1">
      <c r="J707" s="5">
        <f t="array" ref="J7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8" ht="16" customHeight="1">
      <c r="J708" s="5">
        <f t="array" ref="J7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09" ht="16" customHeight="1">
      <c r="J709" s="5">
        <f t="array" ref="J7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0" ht="16" customHeight="1">
      <c r="J710" s="5">
        <f t="array" ref="J7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1" ht="16" customHeight="1">
      <c r="J711" s="5">
        <f t="array" ref="J7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2" ht="16" customHeight="1">
      <c r="J712" s="5">
        <f t="array" ref="J7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3" ht="16" customHeight="1">
      <c r="J713" s="5">
        <f t="array" ref="J7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4" ht="16" customHeight="1">
      <c r="J714" s="5">
        <f t="array" ref="J7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5" ht="16" customHeight="1">
      <c r="J715" s="5">
        <f t="array" ref="J7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6" ht="16" customHeight="1">
      <c r="J716" s="5">
        <f t="array" ref="J7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7" ht="16" customHeight="1">
      <c r="J717" s="5">
        <f t="array" ref="J7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8" ht="16" customHeight="1">
      <c r="J718" s="5">
        <f t="array" ref="J7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19" ht="16" customHeight="1">
      <c r="J719" s="5">
        <f t="array" ref="J7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0" ht="16" customHeight="1">
      <c r="J720" s="5">
        <f t="array" ref="J7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1" ht="16" customHeight="1">
      <c r="J721" s="5">
        <f t="array" ref="J7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2" ht="16" customHeight="1">
      <c r="J722" s="5">
        <f t="array" ref="J7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3" ht="16" customHeight="1">
      <c r="J723" s="5">
        <f t="array" ref="J7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4" ht="16" customHeight="1">
      <c r="J724" s="5">
        <f t="array" ref="J7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5" ht="16" customHeight="1">
      <c r="J725" s="5">
        <f t="array" ref="J7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6" ht="16" customHeight="1">
      <c r="J726" s="5">
        <f t="array" ref="J7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7" ht="16" customHeight="1">
      <c r="J727" s="5">
        <f t="array" ref="J7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8" ht="16" customHeight="1">
      <c r="J728" s="5">
        <f t="array" ref="J7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29" ht="16" customHeight="1">
      <c r="J729" s="5">
        <f t="array" ref="J7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0" ht="16" customHeight="1">
      <c r="J730" s="5">
        <f t="array" ref="J7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1" ht="16" customHeight="1">
      <c r="J731" s="5">
        <f t="array" ref="J7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2" ht="16" customHeight="1">
      <c r="J732" s="5">
        <f t="array" ref="J7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3" ht="16" customHeight="1">
      <c r="J733" s="5">
        <f t="array" ref="J7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4" ht="16" customHeight="1">
      <c r="J734" s="5">
        <f t="array" ref="J7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5" ht="16" customHeight="1">
      <c r="J735" s="5">
        <f t="array" ref="J7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6" ht="16" customHeight="1">
      <c r="J736" s="5">
        <f t="array" ref="J7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7" ht="16" customHeight="1">
      <c r="J737" s="5">
        <f t="array" ref="J7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8" ht="16" customHeight="1">
      <c r="J738" s="5">
        <f t="array" ref="J7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39" ht="16" customHeight="1">
      <c r="J739" s="5">
        <f t="array" ref="J7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0" ht="16" customHeight="1">
      <c r="J740" s="5">
        <f t="array" ref="J7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1" ht="16" customHeight="1">
      <c r="J741" s="5">
        <f t="array" ref="J7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2" ht="16" customHeight="1">
      <c r="J742" s="5">
        <f t="array" ref="J7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3" ht="16" customHeight="1">
      <c r="J743" s="5">
        <f t="array" ref="J7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4" ht="16" customHeight="1">
      <c r="J744" s="5">
        <f t="array" ref="J7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5" ht="16" customHeight="1">
      <c r="J745" s="5">
        <f t="array" ref="J7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6" ht="16" customHeight="1">
      <c r="J746" s="5">
        <f t="array" ref="J7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7" ht="16" customHeight="1">
      <c r="J747" s="5">
        <f t="array" ref="J7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8" ht="16" customHeight="1">
      <c r="J748" s="5">
        <f t="array" ref="J7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49" ht="16" customHeight="1">
      <c r="J749" s="5">
        <f t="array" ref="J7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0" ht="16" customHeight="1">
      <c r="J750" s="5">
        <f t="array" ref="J7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1" ht="16" customHeight="1">
      <c r="J751" s="5">
        <f t="array" ref="J7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2" ht="16" customHeight="1">
      <c r="J752" s="5">
        <f t="array" ref="J7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3" ht="16" customHeight="1">
      <c r="J753" s="5">
        <f t="array" ref="J7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4" ht="16" customHeight="1">
      <c r="J754" s="5">
        <f t="array" ref="J7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5" ht="16" customHeight="1">
      <c r="J755" s="5">
        <f t="array" ref="J7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6" ht="16" customHeight="1">
      <c r="J756" s="5">
        <f t="array" ref="J7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7" ht="16" customHeight="1">
      <c r="J757" s="5">
        <f t="array" ref="J7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8" ht="16" customHeight="1">
      <c r="J758" s="5">
        <f t="array" ref="J7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59" ht="16" customHeight="1">
      <c r="J759" s="5">
        <f t="array" ref="J7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0" ht="16" customHeight="1">
      <c r="J760" s="5">
        <f t="array" ref="J7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1" ht="16" customHeight="1">
      <c r="J761" s="5">
        <f t="array" ref="J7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2" ht="16" customHeight="1">
      <c r="J762" s="5">
        <f t="array" ref="J7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3" ht="16" customHeight="1">
      <c r="J763" s="5">
        <f t="array" ref="J7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4" ht="16" customHeight="1">
      <c r="J764" s="5">
        <f t="array" ref="J7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5" ht="16" customHeight="1">
      <c r="J765" s="5">
        <f t="array" ref="J7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6" ht="16" customHeight="1">
      <c r="J766" s="5">
        <f t="array" ref="J7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7" ht="16" customHeight="1">
      <c r="J767" s="5">
        <f t="array" ref="J7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8" ht="16" customHeight="1">
      <c r="J768" s="5">
        <f t="array" ref="J7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69" ht="16" customHeight="1">
      <c r="J769" s="5">
        <f t="array" ref="J7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0" ht="16" customHeight="1">
      <c r="J770" s="5">
        <f t="array" ref="J7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1" ht="16" customHeight="1">
      <c r="J771" s="5">
        <f t="array" ref="J7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2" ht="16" customHeight="1">
      <c r="J772" s="5">
        <f t="array" ref="J7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3" ht="16" customHeight="1">
      <c r="J773" s="5">
        <f t="array" ref="J7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4" ht="16" customHeight="1">
      <c r="J774" s="5">
        <f t="array" ref="J7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5" ht="16" customHeight="1">
      <c r="J775" s="5">
        <f t="array" ref="J7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6" ht="16" customHeight="1">
      <c r="J776" s="5">
        <f t="array" ref="J7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7" ht="16" customHeight="1">
      <c r="J777" s="5">
        <f t="array" ref="J7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8" ht="16" customHeight="1">
      <c r="J778" s="5">
        <f t="array" ref="J7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79" ht="16" customHeight="1">
      <c r="J779" s="5">
        <f t="array" ref="J7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0" ht="16" customHeight="1">
      <c r="J780" s="5">
        <f t="array" ref="J7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1" ht="16" customHeight="1">
      <c r="J781" s="5">
        <f t="array" ref="J7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2" ht="16" customHeight="1">
      <c r="J782" s="5">
        <f t="array" ref="J7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3" ht="16" customHeight="1">
      <c r="J783" s="5">
        <f t="array" ref="J7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4" ht="16" customHeight="1">
      <c r="J784" s="5">
        <f t="array" ref="J7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5" ht="16" customHeight="1">
      <c r="J785" s="5">
        <f t="array" ref="J7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6" ht="16" customHeight="1">
      <c r="J786" s="5">
        <f t="array" ref="J7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7" ht="16" customHeight="1">
      <c r="J787" s="5">
        <f t="array" ref="J7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8" ht="16" customHeight="1">
      <c r="J788" s="5">
        <f t="array" ref="J7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89" ht="16" customHeight="1">
      <c r="J789" s="5">
        <f t="array" ref="J7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0" ht="16" customHeight="1">
      <c r="J790" s="5">
        <f t="array" ref="J7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1" ht="16" customHeight="1">
      <c r="J791" s="5">
        <f t="array" ref="J7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2" ht="16" customHeight="1">
      <c r="J792" s="5">
        <f t="array" ref="J7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3" ht="16" customHeight="1">
      <c r="J793" s="5">
        <f t="array" ref="J7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4" ht="16" customHeight="1">
      <c r="J794" s="5">
        <f t="array" ref="J7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5" ht="16" customHeight="1">
      <c r="J795" s="5">
        <f t="array" ref="J7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6" ht="16" customHeight="1">
      <c r="J796" s="5">
        <f t="array" ref="J7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7" ht="16" customHeight="1">
      <c r="J797" s="5">
        <f t="array" ref="J7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8" ht="16" customHeight="1">
      <c r="J798" s="5">
        <f t="array" ref="J7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799" ht="16" customHeight="1">
      <c r="J799" s="5">
        <f t="array" ref="J7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0" ht="16" customHeight="1">
      <c r="J800" s="5">
        <f t="array" ref="J8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1" ht="16" customHeight="1">
      <c r="J801" s="5">
        <f t="array" ref="J8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2" ht="16" customHeight="1">
      <c r="J802" s="5">
        <f t="array" ref="J8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3" ht="16" customHeight="1">
      <c r="J803" s="5">
        <f t="array" ref="J8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4" ht="16" customHeight="1">
      <c r="J804" s="5">
        <f t="array" ref="J8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5" ht="16" customHeight="1">
      <c r="J805" s="5">
        <f t="array" ref="J8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6" ht="16" customHeight="1">
      <c r="J806" s="5">
        <f t="array" ref="J8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7" ht="16" customHeight="1">
      <c r="J807" s="5">
        <f t="array" ref="J8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8" ht="16" customHeight="1">
      <c r="J808" s="5">
        <f t="array" ref="J8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09" ht="16" customHeight="1">
      <c r="J809" s="5">
        <f t="array" ref="J8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0" ht="16" customHeight="1">
      <c r="J810" s="5">
        <f t="array" ref="J8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1" ht="16" customHeight="1">
      <c r="J811" s="5">
        <f t="array" ref="J8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2" ht="16" customHeight="1">
      <c r="J812" s="5">
        <f t="array" ref="J8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3" ht="16" customHeight="1">
      <c r="J813" s="5">
        <f t="array" ref="J8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4" ht="16" customHeight="1">
      <c r="J814" s="5">
        <f t="array" ref="J8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5" ht="16" customHeight="1">
      <c r="J815" s="5">
        <f t="array" ref="J8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6" ht="16" customHeight="1">
      <c r="J816" s="5">
        <f t="array" ref="J8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7" ht="16" customHeight="1">
      <c r="J817" s="5">
        <f t="array" ref="J8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8" ht="16" customHeight="1">
      <c r="J818" s="5">
        <f t="array" ref="J8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19" ht="16" customHeight="1">
      <c r="J819" s="5">
        <f t="array" ref="J8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0" ht="16" customHeight="1">
      <c r="J820" s="5">
        <f t="array" ref="J8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1" ht="16" customHeight="1">
      <c r="J821" s="5">
        <f t="array" ref="J8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2" ht="16" customHeight="1">
      <c r="J822" s="5">
        <f t="array" ref="J8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3" ht="16" customHeight="1">
      <c r="J823" s="5">
        <f t="array" ref="J8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4" ht="16" customHeight="1">
      <c r="J824" s="5">
        <f t="array" ref="J8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5" ht="16" customHeight="1">
      <c r="J825" s="5">
        <f t="array" ref="J8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6" ht="16" customHeight="1">
      <c r="J826" s="5">
        <f t="array" ref="J8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7" ht="16" customHeight="1">
      <c r="J827" s="5">
        <f t="array" ref="J8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8" ht="16" customHeight="1">
      <c r="J828" s="5">
        <f t="array" ref="J8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29" ht="16" customHeight="1">
      <c r="J829" s="5">
        <f t="array" ref="J8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0" ht="16" customHeight="1">
      <c r="J830" s="5">
        <f t="array" ref="J8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1" ht="16" customHeight="1">
      <c r="J831" s="5">
        <f t="array" ref="J8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2" ht="16" customHeight="1">
      <c r="J832" s="5">
        <f t="array" ref="J8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3" ht="16" customHeight="1">
      <c r="J833" s="5">
        <f t="array" ref="J8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4" ht="16" customHeight="1">
      <c r="J834" s="5">
        <f t="array" ref="J8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5" ht="16" customHeight="1">
      <c r="J835" s="5">
        <f t="array" ref="J8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6" ht="16" customHeight="1">
      <c r="J836" s="5">
        <f t="array" ref="J8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7" ht="16" customHeight="1">
      <c r="J837" s="5">
        <f t="array" ref="J8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8" ht="16" customHeight="1">
      <c r="J838" s="5">
        <f t="array" ref="J8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39" ht="16" customHeight="1">
      <c r="J839" s="5">
        <f t="array" ref="J8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0" ht="16" customHeight="1">
      <c r="J840" s="5">
        <f t="array" ref="J8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1" ht="16" customHeight="1">
      <c r="J841" s="5">
        <f t="array" ref="J8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2" ht="16" customHeight="1">
      <c r="J842" s="5">
        <f t="array" ref="J8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3" ht="16" customHeight="1">
      <c r="J843" s="5">
        <f t="array" ref="J8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4" ht="16" customHeight="1">
      <c r="J844" s="5">
        <f t="array" ref="J8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5" ht="16" customHeight="1">
      <c r="J845" s="5">
        <f t="array" ref="J8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6" ht="16" customHeight="1">
      <c r="J846" s="5">
        <f t="array" ref="J8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7" ht="16" customHeight="1">
      <c r="J847" s="5">
        <f t="array" ref="J8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8" ht="16" customHeight="1">
      <c r="J848" s="5">
        <f t="array" ref="J8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49" ht="16" customHeight="1">
      <c r="J849" s="5">
        <f t="array" ref="J8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0" ht="16" customHeight="1">
      <c r="J850" s="5">
        <f t="array" ref="J8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1" ht="16" customHeight="1">
      <c r="J851" s="5">
        <f t="array" ref="J8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2" ht="16" customHeight="1">
      <c r="J852" s="5">
        <f t="array" ref="J8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3" ht="16" customHeight="1">
      <c r="J853" s="5">
        <f t="array" ref="J8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4" ht="16" customHeight="1">
      <c r="J854" s="5">
        <f t="array" ref="J8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5" ht="16" customHeight="1">
      <c r="J855" s="5">
        <f t="array" ref="J8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6" ht="16" customHeight="1">
      <c r="J856" s="5">
        <f t="array" ref="J8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7" ht="16" customHeight="1">
      <c r="J857" s="5">
        <f t="array" ref="J8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8" ht="16" customHeight="1">
      <c r="J858" s="5">
        <f t="array" ref="J8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59" ht="16" customHeight="1">
      <c r="J859" s="5">
        <f t="array" ref="J8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0" ht="16" customHeight="1">
      <c r="J860" s="5">
        <f t="array" ref="J8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1" ht="16" customHeight="1">
      <c r="J861" s="5">
        <f t="array" ref="J8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2" ht="16" customHeight="1">
      <c r="J862" s="5">
        <f t="array" ref="J8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3" ht="16" customHeight="1">
      <c r="J863" s="5">
        <f t="array" ref="J8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4" ht="16" customHeight="1">
      <c r="J864" s="5">
        <f t="array" ref="J8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5" ht="16" customHeight="1">
      <c r="J865" s="5">
        <f t="array" ref="J8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6" ht="16" customHeight="1">
      <c r="J866" s="5">
        <f t="array" ref="J8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7" ht="16" customHeight="1">
      <c r="J867" s="5">
        <f t="array" ref="J8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8" ht="16" customHeight="1">
      <c r="J868" s="5">
        <f t="array" ref="J8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69" ht="16" customHeight="1">
      <c r="J869" s="5">
        <f t="array" ref="J8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0" ht="16" customHeight="1">
      <c r="J870" s="5">
        <f t="array" ref="J8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1" ht="16" customHeight="1">
      <c r="J871" s="5">
        <f t="array" ref="J8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2" ht="16" customHeight="1">
      <c r="J872" s="5">
        <f t="array" ref="J8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3" ht="16" customHeight="1">
      <c r="J873" s="5">
        <f t="array" ref="J8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4" ht="16" customHeight="1">
      <c r="J874" s="5">
        <f t="array" ref="J8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5" ht="16" customHeight="1">
      <c r="J875" s="5">
        <f t="array" ref="J8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6" ht="16" customHeight="1">
      <c r="J876" s="5">
        <f t="array" ref="J8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7" ht="16" customHeight="1">
      <c r="J877" s="5">
        <f t="array" ref="J8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8" ht="16" customHeight="1">
      <c r="J878" s="5">
        <f t="array" ref="J8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79" ht="16" customHeight="1">
      <c r="J879" s="5">
        <f t="array" ref="J8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0" ht="16" customHeight="1">
      <c r="J880" s="5">
        <f t="array" ref="J8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1" ht="16" customHeight="1">
      <c r="J881" s="5">
        <f t="array" ref="J8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2" ht="16" customHeight="1">
      <c r="J882" s="5">
        <f t="array" ref="J8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3" ht="16" customHeight="1">
      <c r="J883" s="5">
        <f t="array" ref="J8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4" ht="16" customHeight="1">
      <c r="J884" s="5">
        <f t="array" ref="J8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5" ht="16" customHeight="1">
      <c r="J885" s="5">
        <f t="array" ref="J8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6" ht="16" customHeight="1">
      <c r="J886" s="5">
        <f t="array" ref="J8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7" ht="16" customHeight="1">
      <c r="J887" s="5">
        <f t="array" ref="J8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8" ht="16" customHeight="1">
      <c r="J888" s="5">
        <f t="array" ref="J8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89" ht="16" customHeight="1">
      <c r="J889" s="5">
        <f t="array" ref="J8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0" ht="16" customHeight="1">
      <c r="J890" s="5">
        <f t="array" ref="J8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1" ht="16" customHeight="1">
      <c r="J891" s="5">
        <f t="array" ref="J8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2" ht="16" customHeight="1">
      <c r="J892" s="5">
        <f t="array" ref="J8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3" ht="16" customHeight="1">
      <c r="J893" s="5">
        <f t="array" ref="J8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4" ht="16" customHeight="1">
      <c r="J894" s="5">
        <f t="array" ref="J8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5" ht="16" customHeight="1">
      <c r="J895" s="5">
        <f t="array" ref="J8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6" ht="16" customHeight="1">
      <c r="J896" s="5">
        <f t="array" ref="J8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7" ht="16" customHeight="1">
      <c r="J897" s="5">
        <f t="array" ref="J8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8" ht="16" customHeight="1">
      <c r="J898" s="5">
        <f t="array" ref="J8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899" ht="16" customHeight="1">
      <c r="J899" s="5">
        <f t="array" ref="J8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0" ht="16" customHeight="1">
      <c r="J900" s="5">
        <f t="array" ref="J9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1" ht="16" customHeight="1">
      <c r="J901" s="5">
        <f t="array" ref="J9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2" ht="16" customHeight="1">
      <c r="J902" s="5">
        <f t="array" ref="J9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3" ht="16" customHeight="1">
      <c r="J903" s="5">
        <f t="array" ref="J9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4" ht="16" customHeight="1">
      <c r="J904" s="5">
        <f t="array" ref="J9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5" ht="16" customHeight="1">
      <c r="J905" s="5">
        <f t="array" ref="J9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6" ht="16" customHeight="1">
      <c r="J906" s="5">
        <f t="array" ref="J9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7" ht="16" customHeight="1">
      <c r="J907" s="5">
        <f t="array" ref="J9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8" ht="16" customHeight="1">
      <c r="J908" s="5">
        <f t="array" ref="J9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09" ht="16" customHeight="1">
      <c r="J909" s="5">
        <f t="array" ref="J9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0" ht="16" customHeight="1">
      <c r="J910" s="5">
        <f t="array" ref="J9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1" ht="16" customHeight="1">
      <c r="J911" s="5">
        <f t="array" ref="J9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2" ht="16" customHeight="1">
      <c r="J912" s="5">
        <f t="array" ref="J9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3" ht="16" customHeight="1">
      <c r="J913" s="5">
        <f t="array" ref="J9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4" ht="16" customHeight="1">
      <c r="J914" s="5">
        <f t="array" ref="J9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5" ht="16" customHeight="1">
      <c r="J915" s="5">
        <f t="array" ref="J9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6" ht="16" customHeight="1">
      <c r="J916" s="5">
        <f t="array" ref="J9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7" ht="16" customHeight="1">
      <c r="J917" s="5">
        <f t="array" ref="J9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8" ht="16" customHeight="1">
      <c r="J918" s="5">
        <f t="array" ref="J9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19" ht="16" customHeight="1">
      <c r="J919" s="5">
        <f t="array" ref="J9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0" ht="16" customHeight="1">
      <c r="J920" s="5">
        <f t="array" ref="J9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1" ht="16" customHeight="1">
      <c r="J921" s="5">
        <f t="array" ref="J9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2" ht="16" customHeight="1">
      <c r="J922" s="5">
        <f t="array" ref="J9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3" ht="16" customHeight="1">
      <c r="J923" s="5">
        <f t="array" ref="J9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4" ht="16" customHeight="1">
      <c r="J924" s="5">
        <f t="array" ref="J9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5" ht="16" customHeight="1">
      <c r="J925" s="5">
        <f t="array" ref="J9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6" ht="16" customHeight="1">
      <c r="J926" s="5">
        <f t="array" ref="J9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7" ht="16" customHeight="1">
      <c r="J927" s="5">
        <f t="array" ref="J9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8" ht="16" customHeight="1">
      <c r="J928" s="5">
        <f t="array" ref="J9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29" ht="16" customHeight="1">
      <c r="J929" s="5">
        <f t="array" ref="J9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0" ht="16" customHeight="1">
      <c r="J930" s="5">
        <f t="array" ref="J9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1" ht="16" customHeight="1">
      <c r="J931" s="5">
        <f t="array" ref="J9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2" ht="16" customHeight="1">
      <c r="J932" s="5">
        <f t="array" ref="J9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3" ht="16" customHeight="1">
      <c r="J933" s="5">
        <f t="array" ref="J9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4" ht="16" customHeight="1">
      <c r="J934" s="5">
        <f t="array" ref="J9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5" ht="16" customHeight="1">
      <c r="J935" s="5">
        <f t="array" ref="J9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6" ht="16" customHeight="1">
      <c r="J936" s="5">
        <f t="array" ref="J9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7" ht="16" customHeight="1">
      <c r="J937" s="5">
        <f t="array" ref="J9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8" ht="16" customHeight="1">
      <c r="J938" s="5">
        <f t="array" ref="J9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39" ht="16" customHeight="1">
      <c r="J939" s="5">
        <f t="array" ref="J9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0" ht="16" customHeight="1">
      <c r="J940" s="5">
        <f t="array" ref="J9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1" ht="16" customHeight="1">
      <c r="J941" s="5">
        <f t="array" ref="J9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2" ht="16" customHeight="1">
      <c r="J942" s="5">
        <f t="array" ref="J9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3" ht="16" customHeight="1">
      <c r="J943" s="5">
        <f t="array" ref="J9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4" ht="16" customHeight="1">
      <c r="J944" s="5">
        <f t="array" ref="J9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5" ht="16" customHeight="1">
      <c r="J945" s="5">
        <f t="array" ref="J9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6" ht="16" customHeight="1">
      <c r="J946" s="5">
        <f t="array" ref="J9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7" ht="16" customHeight="1">
      <c r="J947" s="5">
        <f t="array" ref="J9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8" ht="16" customHeight="1">
      <c r="J948" s="5">
        <f t="array" ref="J9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49" ht="16" customHeight="1">
      <c r="J949" s="5">
        <f t="array" ref="J9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0" ht="16" customHeight="1">
      <c r="J950" s="5">
        <f t="array" ref="J9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1" ht="16" customHeight="1">
      <c r="J951" s="5">
        <f t="array" ref="J9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2" ht="16" customHeight="1">
      <c r="J952" s="5">
        <f t="array" ref="J9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3" ht="16" customHeight="1">
      <c r="J953" s="5">
        <f t="array" ref="J9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4" ht="16" customHeight="1">
      <c r="J954" s="5">
        <f t="array" ref="J9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5" ht="16" customHeight="1">
      <c r="J955" s="5">
        <f t="array" ref="J9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6" ht="16" customHeight="1">
      <c r="J956" s="5">
        <f t="array" ref="J9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7" ht="16" customHeight="1">
      <c r="J957" s="5">
        <f t="array" ref="J9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8" ht="16" customHeight="1">
      <c r="J958" s="5">
        <f t="array" ref="J9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59" ht="16" customHeight="1">
      <c r="J959" s="5">
        <f t="array" ref="J9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0" ht="16" customHeight="1">
      <c r="J960" s="5">
        <f t="array" ref="J9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1" ht="16" customHeight="1">
      <c r="J961" s="5">
        <f t="array" ref="J9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2" ht="16" customHeight="1">
      <c r="J962" s="5">
        <f t="array" ref="J9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3" ht="16" customHeight="1">
      <c r="J963" s="5">
        <f t="array" ref="J9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4" ht="16" customHeight="1">
      <c r="J964" s="5">
        <f t="array" ref="J9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5" ht="16" customHeight="1">
      <c r="J965" s="5">
        <f t="array" ref="J9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6" ht="16" customHeight="1">
      <c r="J966" s="5">
        <f t="array" ref="J9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7" ht="16" customHeight="1">
      <c r="J967" s="5">
        <f t="array" ref="J9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8" ht="16" customHeight="1">
      <c r="J968" s="5">
        <f t="array" ref="J9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69" ht="16" customHeight="1">
      <c r="J969" s="5">
        <f t="array" ref="J9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0" ht="16" customHeight="1">
      <c r="J970" s="5">
        <f t="array" ref="J9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1" ht="16" customHeight="1">
      <c r="J971" s="5">
        <f t="array" ref="J9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2" ht="16" customHeight="1">
      <c r="J972" s="5">
        <f t="array" ref="J9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3" ht="16" customHeight="1">
      <c r="J973" s="5">
        <f t="array" ref="J9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4" ht="16" customHeight="1">
      <c r="J974" s="5">
        <f t="array" ref="J9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5" ht="16" customHeight="1">
      <c r="J975" s="5">
        <f t="array" ref="J9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6" ht="16" customHeight="1">
      <c r="J976" s="5">
        <f t="array" ref="J9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7" ht="16" customHeight="1">
      <c r="J977" s="5">
        <f t="array" ref="J9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8" ht="16" customHeight="1">
      <c r="J978" s="5">
        <f t="array" ref="J9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79" ht="16" customHeight="1">
      <c r="J979" s="5">
        <f t="array" ref="J9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0" ht="16" customHeight="1">
      <c r="J980" s="5">
        <f t="array" ref="J9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1" ht="16" customHeight="1">
      <c r="J981" s="5">
        <f t="array" ref="J9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2" ht="16" customHeight="1">
      <c r="J982" s="5">
        <f t="array" ref="J9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3" ht="16" customHeight="1">
      <c r="J983" s="5">
        <f t="array" ref="J9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4" ht="16" customHeight="1">
      <c r="J984" s="5">
        <f t="array" ref="J9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5" ht="16" customHeight="1">
      <c r="J985" s="5">
        <f t="array" ref="J9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6" ht="16" customHeight="1">
      <c r="J986" s="5">
        <f t="array" ref="J9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7" ht="16" customHeight="1">
      <c r="J987" s="5">
        <f t="array" ref="J9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8" ht="16" customHeight="1">
      <c r="J988" s="5">
        <f t="array" ref="J9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89" ht="16" customHeight="1">
      <c r="J989" s="5">
        <f t="array" ref="J9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0" ht="16" customHeight="1">
      <c r="J990" s="5">
        <f t="array" ref="J9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1" ht="16" customHeight="1">
      <c r="J991" s="5">
        <f t="array" ref="J9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2" ht="16" customHeight="1">
      <c r="J992" s="5">
        <f t="array" ref="J9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3" ht="16" customHeight="1">
      <c r="J993" s="5">
        <f t="array" ref="J9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4" ht="16" customHeight="1">
      <c r="J994" s="5">
        <f t="array" ref="J9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5" ht="16" customHeight="1">
      <c r="J995" s="5">
        <f t="array" ref="J9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6" ht="16" customHeight="1">
      <c r="J996" s="5">
        <f t="array" ref="J9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7" ht="16" customHeight="1">
      <c r="J997" s="5">
        <f t="array" ref="J9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8" ht="16" customHeight="1">
      <c r="J998" s="5">
        <f t="array" ref="J9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999" ht="16" customHeight="1">
      <c r="J999" s="5">
        <f t="array" ref="J9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0" ht="16" customHeight="1">
      <c r="J1000" s="5">
        <f t="array" ref="J10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1" ht="16" customHeight="1">
      <c r="J1001" s="5">
        <f t="array" ref="J10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2" ht="16" customHeight="1">
      <c r="J1002" s="5">
        <f t="array" ref="J10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3" ht="16" customHeight="1">
      <c r="J1003" s="5">
        <f t="array" ref="J10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4" ht="16" customHeight="1">
      <c r="J1004" s="5">
        <f t="array" ref="J10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5" ht="16" customHeight="1">
      <c r="J1005" s="5">
        <f t="array" ref="J10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6" ht="16" customHeight="1">
      <c r="J1006" s="5">
        <f t="array" ref="J10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7" ht="16" customHeight="1">
      <c r="J1007" s="5">
        <f t="array" ref="J10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8" ht="16" customHeight="1">
      <c r="J1008" s="5">
        <f t="array" ref="J10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09" ht="16" customHeight="1">
      <c r="J1009" s="5">
        <f t="array" ref="J10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0" ht="16" customHeight="1">
      <c r="J1010" s="5">
        <f t="array" ref="J10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1" ht="16" customHeight="1">
      <c r="J1011" s="5">
        <f t="array" ref="J10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2" ht="16" customHeight="1">
      <c r="J1012" s="5">
        <f t="array" ref="J10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3" ht="16" customHeight="1">
      <c r="J1013" s="5">
        <f t="array" ref="J10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4" ht="16" customHeight="1">
      <c r="J1014" s="5">
        <f t="array" ref="J10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5" ht="16" customHeight="1">
      <c r="J1015" s="5">
        <f t="array" ref="J10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6" ht="16" customHeight="1">
      <c r="J1016" s="5">
        <f t="array" ref="J10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7" ht="16" customHeight="1">
      <c r="J1017" s="5">
        <f t="array" ref="J10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8" ht="16" customHeight="1">
      <c r="J1018" s="5">
        <f t="array" ref="J10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19" ht="16" customHeight="1">
      <c r="D1019" t="inlineStr">
        <is>
          <t>SD-WAN</t>
        </is>
      </c>
      <c r="J1019" s="5">
        <f t="array" ref="J10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row>
    <row r="1020" ht="34" customHeight="1">
      <c r="A1020" s="12" t="inlineStr">
        <is>
          <t>CommonSpirit Health</t>
        </is>
      </c>
      <c r="C1020" s="12" t="inlineStr">
        <is>
          <t>GES-West</t>
        </is>
      </c>
      <c r="D1020" s="12" t="inlineStr">
        <is>
          <t>ACI</t>
        </is>
      </c>
      <c r="J1020" s="5">
        <f t="array" ref="J10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0" s="11" t="inlineStr">
        <is>
          <t>Limited engagement helping them implement ACI-as-Code.  Goal is to get a funded engagmenet with them long-term</t>
        </is>
      </c>
    </row>
    <row r="1021" ht="34" customHeight="1">
      <c r="A1021" s="12" t="inlineStr">
        <is>
          <t>CommonSpirit Health</t>
        </is>
      </c>
      <c r="C1021" s="12" t="inlineStr">
        <is>
          <t>GES-West</t>
        </is>
      </c>
      <c r="D1021" s="12" t="inlineStr">
        <is>
          <t>SD-WAN</t>
        </is>
      </c>
      <c r="J1021" s="5">
        <f t="array" ref="J10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1021" t="inlineStr">
        <is>
          <t>Lei Tian (letian)</t>
        </is>
      </c>
      <c r="O1021" t="inlineStr">
        <is>
          <t>Yes</t>
        </is>
      </c>
      <c r="P1021" t="inlineStr">
        <is>
          <t>Parity (raw): 100% | Controller access (survey): Yes</t>
        </is>
      </c>
      <c r="Q1021" s="17" t="n">
        <v>1</v>
      </c>
      <c r="S1021" s="11" t="inlineStr">
        <is>
          <t>Leveraging LCS engagement to move sites from one vManage domain to another.</t>
        </is>
      </c>
    </row>
    <row r="1022" ht="34" customHeight="1">
      <c r="A1022" s="12" t="inlineStr">
        <is>
          <t>SalesForce</t>
        </is>
      </c>
      <c r="C1022" s="12" t="inlineStr">
        <is>
          <t>GES-West</t>
        </is>
      </c>
      <c r="D1022" s="12" t="inlineStr">
        <is>
          <t>ISE</t>
        </is>
      </c>
      <c r="J1022" s="5">
        <f t="array" ref="J10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2" s="11" t="inlineStr">
        <is>
          <t>Positioning ISE as code for on-prem to cloud.  Moving away from VMWARE to AWS/Azure</t>
        </is>
      </c>
    </row>
    <row r="1023" ht="34" customHeight="1">
      <c r="A1023" s="12" t="inlineStr">
        <is>
          <t>SalesForce</t>
        </is>
      </c>
      <c r="C1023" s="12" t="inlineStr">
        <is>
          <t>GES-West</t>
        </is>
      </c>
      <c r="D1023" s="12" t="inlineStr">
        <is>
          <t>IOS-XR</t>
        </is>
      </c>
      <c r="J1023" s="5">
        <f t="array" ref="J10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3" s="11" t="inlineStr">
        <is>
          <t>Targeting Workshop with CXTM to discuss capabilities and understand their requirements</t>
        </is>
      </c>
    </row>
    <row r="1024" ht="34" customHeight="1">
      <c r="A1024" s="12" t="inlineStr">
        <is>
          <t>SalesForce</t>
        </is>
      </c>
      <c r="C1024" s="12" t="inlineStr">
        <is>
          <t>GES-West</t>
        </is>
      </c>
      <c r="D1024" s="12" t="inlineStr">
        <is>
          <t>NX-OS</t>
        </is>
      </c>
      <c r="J1024" s="5">
        <f t="array" ref="J10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4" s="11" t="inlineStr">
        <is>
          <t>Targeting Workshop with CXTM to discuss capabilities and understand their requirements</t>
        </is>
      </c>
    </row>
    <row r="1025" ht="34" customHeight="1">
      <c r="A1025" s="12" t="inlineStr">
        <is>
          <t>Schwab</t>
        </is>
      </c>
      <c r="C1025" s="12" t="inlineStr">
        <is>
          <t>GES-West</t>
        </is>
      </c>
      <c r="D1025" s="12" t="inlineStr">
        <is>
          <t>NX-OS</t>
        </is>
      </c>
      <c r="J1025" s="5">
        <f t="array" ref="J10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5" s="11" t="inlineStr">
        <is>
          <t xml:space="preserve">we are using it for code upgrade process and pre and post checks. </t>
        </is>
      </c>
    </row>
    <row r="1026" ht="15" customHeight="1">
      <c r="A1026" t="inlineStr">
        <is>
          <t>Pepsi</t>
        </is>
      </c>
      <c r="C1026" t="inlineStr">
        <is>
          <t>GES-West</t>
        </is>
      </c>
      <c r="J1026" s="5">
        <f t="array" ref="J10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6" s="11" t="inlineStr">
        <is>
          <t>In Discussions on SaC</t>
        </is>
      </c>
    </row>
    <row r="1027" ht="30" customHeight="1">
      <c r="A1027" t="inlineStr">
        <is>
          <t>Southern Cal Edison</t>
        </is>
      </c>
      <c r="C1027" t="inlineStr">
        <is>
          <t>GES-West</t>
        </is>
      </c>
      <c r="D1027" t="inlineStr">
        <is>
          <t>Cat-C/SDA</t>
        </is>
      </c>
      <c r="J1027" s="5">
        <f t="array" ref="J10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1027" t="inlineStr">
        <is>
          <t>No</t>
        </is>
      </c>
      <c r="P1027" t="inlineStr">
        <is>
          <t>Parity exercise not completed</t>
        </is>
      </c>
      <c r="S1027" s="11" t="inlineStr">
        <is>
          <t>Early discussions on evaluating as-Code for Cat Center.  Not an SDA shop</t>
        </is>
      </c>
    </row>
    <row r="1028" ht="31.5" customHeight="1">
      <c r="A1028" t="inlineStr">
        <is>
          <t>Exepdia</t>
        </is>
      </c>
      <c r="C1028" t="inlineStr">
        <is>
          <t>GES-West</t>
        </is>
      </c>
      <c r="D1028" t="inlineStr">
        <is>
          <t>SD-WAN</t>
        </is>
      </c>
      <c r="J1028" s="5">
        <f t="array" ref="J10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O1028" t="inlineStr">
        <is>
          <t>No</t>
        </is>
      </c>
      <c r="P1028" t="inlineStr">
        <is>
          <t>Parity exercise not completed</t>
        </is>
      </c>
      <c r="S1028" s="11" t="inlineStr">
        <is>
          <t>Customer interested in doing NaC themselves.  CX providing info, but no active pursuit at this time</t>
        </is>
      </c>
    </row>
    <row r="1029">
      <c r="A1029" t="inlineStr">
        <is>
          <t>Gilead Sciences</t>
        </is>
      </c>
      <c r="D1029" t="inlineStr">
        <is>
          <t>SD-WAN</t>
        </is>
      </c>
      <c r="N1029" t="inlineStr">
        <is>
          <t>Patrick Teague (pateague)</t>
        </is>
      </c>
      <c r="O1029" t="inlineStr">
        <is>
          <t>Yes</t>
        </is>
      </c>
      <c r="P1029" t="inlineStr">
        <is>
          <t>Parity (raw): 100 | Report: https://cisco-my.sharepoint.com/personal/dhprajap_cisco_com/Documents/Apps/Microsoft%20Forms/Customer%20NaC%20Parity%20Database/Question/sdwan-report_Patrick%20Teague.pdf</t>
        </is>
      </c>
      <c r="Q1029" s="17" t="n">
        <v>1</v>
      </c>
    </row>
    <row r="1030">
      <c r="A1030" t="inlineStr">
        <is>
          <t>Montefiore</t>
        </is>
      </c>
      <c r="D1030" t="inlineStr">
        <is>
          <t>Cat-C/SDA</t>
        </is>
      </c>
      <c r="N1030" t="inlineStr">
        <is>
          <t>Daniel Brooker (dabrooke)</t>
        </is>
      </c>
      <c r="O1030" t="inlineStr">
        <is>
          <t>Yes</t>
        </is>
      </c>
      <c r="P1030" t="inlineStr">
        <is>
          <t>Parity (raw): API Coverage: 100.0% Data Coverage: 100.0% | Report: https://cisco-my.sharepoint.com/personal/dhprajap_cisco_com/Documents/Apps/Microsoft%20Forms/Customer%20NaC%20Parity%20Database/Question/catc-report_Daniel%20Brooker.pdf</t>
        </is>
      </c>
      <c r="Q1030" s="17" t="n">
        <v>1</v>
      </c>
    </row>
    <row r="1031">
      <c r="A1031" t="inlineStr">
        <is>
          <t>MGB Cluster1</t>
        </is>
      </c>
      <c r="C1031" t="inlineStr">
        <is>
          <t>GES-East</t>
        </is>
      </c>
      <c r="D1031" t="inlineStr">
        <is>
          <t>Cat-C/SDA</t>
        </is>
      </c>
      <c r="N1031" t="inlineStr">
        <is>
          <t>Haibin Zhou (haizhou)</t>
        </is>
      </c>
      <c r="O1031" t="inlineStr">
        <is>
          <t>Yes</t>
        </is>
      </c>
      <c r="P1031" t="inlineStr">
        <is>
          <t>Parity (raw): 100% | Report: https://cisco-my.sharepoint.com/personal/dhprajap_cisco_com/Documents/Apps/Microsoft%20Forms/Customer%20NaC%20Parity%20Database/Question/catc-report_Haibin%20Zhou%201.pdf</t>
        </is>
      </c>
      <c r="Q1031" s="17" t="n">
        <v>1</v>
      </c>
    </row>
    <row r="1032">
      <c r="A1032" t="inlineStr">
        <is>
          <t>Carrier Corporation</t>
        </is>
      </c>
      <c r="C1032" t="inlineStr">
        <is>
          <t>GES-East</t>
        </is>
      </c>
      <c r="D1032" t="inlineStr">
        <is>
          <t>SD-WAN</t>
        </is>
      </c>
      <c r="N1032" t="inlineStr">
        <is>
          <t>Faraz Shamim (sshamim)</t>
        </is>
      </c>
      <c r="O1032" t="inlineStr">
        <is>
          <t>Yes</t>
        </is>
      </c>
      <c r="P1032" t="inlineStr">
        <is>
          <t>Parity (raw): 100% | Report: https://cisco-my.sharepoint.com/personal/dhprajap_cisco_com/Documents/Apps/Microsoft%20Forms/Customer%20NaC%20Parity%20Database/Question/sdwan-report-carrier_Faraz%20Shamim.pdf</t>
        </is>
      </c>
      <c r="Q1032" s="17" t="n">
        <v>1</v>
      </c>
    </row>
    <row r="1033">
      <c r="A1033" t="inlineStr">
        <is>
          <t>Fidelity FIS</t>
        </is>
      </c>
      <c r="C1033" t="inlineStr">
        <is>
          <t>GES-East</t>
        </is>
      </c>
      <c r="D1033" t="inlineStr">
        <is>
          <t>SD-WAN</t>
        </is>
      </c>
      <c r="N1033" t="inlineStr">
        <is>
          <t>Faraz Shamim (sshamim)</t>
        </is>
      </c>
      <c r="O1033" t="inlineStr">
        <is>
          <t>Yes</t>
        </is>
      </c>
      <c r="P1033" t="inlineStr">
        <is>
          <t>Parity (raw): 100% | Report: https://cisco-my.sharepoint.com/personal/dhprajap_cisco_com/Documents/Apps/Microsoft%20Forms/Customer%20NaC%20Parity%20Database/Question/sdwan-report-fis_Faraz%20Shamim.pdf</t>
        </is>
      </c>
      <c r="Q1033" s="17" t="n">
        <v>1</v>
      </c>
    </row>
    <row r="1034">
      <c r="A1034" t="inlineStr">
        <is>
          <t>United Airlines</t>
        </is>
      </c>
      <c r="D1034" t="inlineStr">
        <is>
          <t>SD-WAN</t>
        </is>
      </c>
      <c r="N1034" t="inlineStr">
        <is>
          <t>Faraz Shamim (sshamim)</t>
        </is>
      </c>
      <c r="O1034" t="inlineStr">
        <is>
          <t>Yes</t>
        </is>
      </c>
      <c r="P1034" t="inlineStr">
        <is>
          <t>Parity (raw): 100% | Report: https://cisco-my.sharepoint.com/personal/dhprajap_cisco_com/Documents/Apps/Microsoft%20Forms/Customer%20NaC%20Parity%20Database/Question/sdwan-report-united_Faraz%20Shamim.pdf</t>
        </is>
      </c>
      <c r="Q1034" s="17" t="n">
        <v>1</v>
      </c>
    </row>
    <row r="1035">
      <c r="A1035" t="inlineStr">
        <is>
          <t>Delta Airlines</t>
        </is>
      </c>
      <c r="C1035" t="inlineStr">
        <is>
          <t>GES-East</t>
        </is>
      </c>
      <c r="D1035" t="inlineStr">
        <is>
          <t>SD-WAN</t>
        </is>
      </c>
      <c r="N1035" t="inlineStr">
        <is>
          <t>Faraz Shamim (sshamim)</t>
        </is>
      </c>
      <c r="O1035" t="inlineStr">
        <is>
          <t>Yes</t>
        </is>
      </c>
      <c r="P1035" t="inlineStr">
        <is>
          <t>Parity (raw): 100% | Report: https://cisco-my.sharepoint.com/personal/dhprajap_cisco_com/Documents/Apps/Microsoft%20Forms/Customer%20NaC%20Parity%20Database/Question/sdwan-report-delta_Faraz%20Shamim.pdf</t>
        </is>
      </c>
      <c r="Q1035" s="17" t="n">
        <v>1</v>
      </c>
    </row>
    <row r="1036">
      <c r="A1036" t="inlineStr">
        <is>
          <t>CoX</t>
        </is>
      </c>
      <c r="D1036" t="inlineStr">
        <is>
          <t>SD-WAN</t>
        </is>
      </c>
      <c r="N1036" t="inlineStr">
        <is>
          <t>Derek Chu (derchu)</t>
        </is>
      </c>
      <c r="O1036" t="inlineStr">
        <is>
          <t>Yes</t>
        </is>
      </c>
      <c r="P1036" t="inlineStr">
        <is>
          <t>Parity (raw): 100% | Report: https://cisco-my.sharepoint.com/personal/dhprajap_cisco_com/Documents/Apps/Microsoft%20Forms/Customer%20NaC%20Parity%20Database/Question/sdwan-report-cox_nac-parity_Derek%20Chu.pdf</t>
        </is>
      </c>
      <c r="Q1036" s="17" t="n">
        <v>1</v>
      </c>
    </row>
    <row r="1037">
      <c r="A1037" t="inlineStr">
        <is>
          <t>Huntington National Bank</t>
        </is>
      </c>
      <c r="C1037" t="inlineStr">
        <is>
          <t>GES-East</t>
        </is>
      </c>
      <c r="D1037" t="inlineStr">
        <is>
          <t>SD-WAN</t>
        </is>
      </c>
      <c r="N1037" t="inlineStr">
        <is>
          <t>Scott Brinkerhoff (scbrinke)</t>
        </is>
      </c>
      <c r="O1037" t="inlineStr">
        <is>
          <t>Yes</t>
        </is>
      </c>
      <c r="P1037" t="inlineStr">
        <is>
          <t>Parity (raw): 100 | Report: https://cisco-my.sharepoint.com/personal/dhprajap_cisco_com/Documents/Apps/Microsoft%20Forms/Customer%20NaC%20Parity%20Database/Question/HNB_sdwan-report_Scott%20Brinkerhoff.pdf</t>
        </is>
      </c>
      <c r="Q1037" s="17" t="n">
        <v>1</v>
      </c>
    </row>
    <row r="1038">
      <c r="A1038" t="inlineStr">
        <is>
          <t>KeyBank</t>
        </is>
      </c>
      <c r="D1038" t="inlineStr">
        <is>
          <t>SD-WAN</t>
        </is>
      </c>
      <c r="N1038" t="inlineStr">
        <is>
          <t>Scott Brinkerhoff (scbrinke)</t>
        </is>
      </c>
      <c r="O1038" t="inlineStr">
        <is>
          <t>Yes</t>
        </is>
      </c>
      <c r="P1038" t="inlineStr">
        <is>
          <t>Parity (raw): 100 | Report: https://cisco-my.sharepoint.com/personal/dhprajap_cisco_com/Documents/Apps/Microsoft%20Forms/Customer%20NaC%20Parity%20Database/Question/KB_sdwan-report_Scott%20Brinkerhoff.pdf</t>
        </is>
      </c>
      <c r="Q1038" s="17" t="n">
        <v>1</v>
      </c>
    </row>
    <row r="1039">
      <c r="A1039" t="inlineStr">
        <is>
          <t>Mayo Clinic</t>
        </is>
      </c>
      <c r="D1039" t="inlineStr">
        <is>
          <t>SD-WAN</t>
        </is>
      </c>
      <c r="N1039" t="inlineStr">
        <is>
          <t>Scott Brinkerhoff (scbrinke)</t>
        </is>
      </c>
      <c r="O1039" t="inlineStr">
        <is>
          <t>Yes</t>
        </is>
      </c>
      <c r="P1039" t="inlineStr">
        <is>
          <t>Parity (raw): 100 | Report: https://cisco-my.sharepoint.com/personal/dhprajap_cisco_com/Documents/Apps/Microsoft%20Forms/Customer%20NaC%20Parity%20Database/Question/mayo_sdwan-report_Scott%20Brinkerhoff.pdf</t>
        </is>
      </c>
      <c r="Q1039" s="17" t="n">
        <v>1</v>
      </c>
    </row>
    <row r="1040">
      <c r="A1040" t="inlineStr">
        <is>
          <t>THD SD-WAN (Overlay 1-4)</t>
        </is>
      </c>
      <c r="D1040" t="inlineStr">
        <is>
          <t>SD-WAN</t>
        </is>
      </c>
      <c r="N1040" t="inlineStr">
        <is>
          <t>Jacob Peracchio (jperacch)</t>
        </is>
      </c>
      <c r="O1040" t="inlineStr">
        <is>
          <t>Yes</t>
        </is>
      </c>
      <c r="P1040" t="inlineStr">
        <is>
          <t>Parity (raw): OL 1-4: API: 100% Data: 100% | Report: https://cisco-my.sharepoint.com/personal/dhprajap_cisco_com/_layouts/15/Doc.aspx?sourcedoc=%7BE6FF775C-1A89-482B-A256-A316EB82FCC2%7D&amp;file=NAC%20Parity%20Check_Jacob%20Peracchio.docx&amp;action=default&amp;mobileredirect=true</t>
        </is>
      </c>
      <c r="Q1040" s="17" t="n">
        <v>1</v>
      </c>
    </row>
    <row r="1041">
      <c r="A1041" t="inlineStr">
        <is>
          <t>Tepper Sports &amp; Entertainment</t>
        </is>
      </c>
      <c r="D1041" t="inlineStr">
        <is>
          <t>Cat-C/SDA</t>
        </is>
      </c>
      <c r="N1041" t="inlineStr">
        <is>
          <t>Kaseima Frye (kafrye)</t>
        </is>
      </c>
      <c r="O1041" t="inlineStr">
        <is>
          <t>Yes</t>
        </is>
      </c>
      <c r="P1041" t="inlineStr">
        <is>
          <t>Parity (raw): 100% | Report: https://cisco-my.sharepoint.com/personal/dhprajap_cisco_com/Documents/Apps/Microsoft%20Forms/Customer%20NaC%20Parity%20Database/Question/catalystcenter-report_Kaseima%20Frye.pdf | Controller access (survey): Yes</t>
        </is>
      </c>
      <c r="Q1041" s="17" t="n">
        <v>1</v>
      </c>
    </row>
    <row r="1042">
      <c r="A1042" t="inlineStr">
        <is>
          <t>John Ryan - Test</t>
        </is>
      </c>
      <c r="D1042" t="inlineStr">
        <is>
          <t>SD-WAN</t>
        </is>
      </c>
      <c r="N1042" t="inlineStr">
        <is>
          <t>John Ryan (johnrya@cisco.com)</t>
        </is>
      </c>
      <c r="O1042" t="inlineStr">
        <is>
          <t>No</t>
        </is>
      </c>
      <c r="P1042" t="inlineStr">
        <is>
          <t>Parity (raw): 0 | Controller access (survey): No</t>
        </is>
      </c>
      <c r="Q1042" s="17" t="n">
        <v>0</v>
      </c>
    </row>
    <row r="1043">
      <c r="A1043" t="inlineStr">
        <is>
          <t>L'Oreal</t>
        </is>
      </c>
      <c r="D1043" t="inlineStr">
        <is>
          <t>Cat-C/SDA</t>
        </is>
      </c>
      <c r="N1043" t="inlineStr">
        <is>
          <t>Suzy Titton (stitton)</t>
        </is>
      </c>
      <c r="O1043" t="inlineStr">
        <is>
          <t>No</t>
        </is>
      </c>
      <c r="P1043" t="inlineStr">
        <is>
          <t>Parity (raw): 0 | Controller access (survey): No</t>
        </is>
      </c>
      <c r="Q1043" s="17" t="n">
        <v>0</v>
      </c>
    </row>
    <row r="1044">
      <c r="A1044" t="inlineStr">
        <is>
          <t>Charter Enterprise</t>
        </is>
      </c>
      <c r="D1044" t="inlineStr">
        <is>
          <t>Cat-C/SDA</t>
        </is>
      </c>
      <c r="N1044" t="inlineStr">
        <is>
          <t>Suzy Titton (stitton)</t>
        </is>
      </c>
      <c r="O1044" t="inlineStr">
        <is>
          <t>No</t>
        </is>
      </c>
      <c r="P1044" t="inlineStr">
        <is>
          <t>Parity (raw): 0 | Controller access (survey): No</t>
        </is>
      </c>
      <c r="Q1044" s="17" t="n">
        <v>0</v>
      </c>
    </row>
    <row r="1045">
      <c r="A1045" t="inlineStr">
        <is>
          <t>Publix</t>
        </is>
      </c>
      <c r="D1045" t="inlineStr">
        <is>
          <t>Cat-C/SDA</t>
        </is>
      </c>
      <c r="N1045" t="inlineStr">
        <is>
          <t>Suzy Titton (stitton)</t>
        </is>
      </c>
      <c r="O1045" t="inlineStr">
        <is>
          <t>No</t>
        </is>
      </c>
      <c r="P1045" t="inlineStr">
        <is>
          <t>Parity (raw): 0 | Controller access (survey): No</t>
        </is>
      </c>
      <c r="Q1045" s="17" t="n">
        <v>0</v>
      </c>
    </row>
    <row r="1046">
      <c r="A1046" t="inlineStr">
        <is>
          <t>New York City Health and Hospitals</t>
        </is>
      </c>
      <c r="D1046" t="inlineStr">
        <is>
          <t>SD-WAN</t>
        </is>
      </c>
      <c r="N1046" t="inlineStr">
        <is>
          <t>Artem Surjko (asurjko)</t>
        </is>
      </c>
      <c r="O1046" t="inlineStr">
        <is>
          <t>No</t>
        </is>
      </c>
      <c r="P1046" t="inlineStr">
        <is>
          <t>Parity (raw): 0 | Controller access (survey): No</t>
        </is>
      </c>
      <c r="Q1046" s="17" t="n">
        <v>0</v>
      </c>
    </row>
    <row r="1047">
      <c r="A1047" t="inlineStr">
        <is>
          <t>Morgan Stanley</t>
        </is>
      </c>
      <c r="D1047" t="inlineStr">
        <is>
          <t>Cat-C/SDA</t>
        </is>
      </c>
      <c r="N1047" t="inlineStr">
        <is>
          <t>Yifang Zhuang (yizhuang)</t>
        </is>
      </c>
      <c r="O1047" t="inlineStr">
        <is>
          <t>No</t>
        </is>
      </c>
      <c r="P1047" t="inlineStr">
        <is>
          <t>Parity (raw): 0 | Controller access (survey): No</t>
        </is>
      </c>
      <c r="Q1047" s="17" t="n">
        <v>0</v>
      </c>
    </row>
    <row r="1048">
      <c r="A1048" t="inlineStr">
        <is>
          <t>Wells Fargo</t>
        </is>
      </c>
      <c r="D1048" t="inlineStr">
        <is>
          <t>Cat-C/SDA</t>
        </is>
      </c>
      <c r="N1048" t="inlineStr">
        <is>
          <t>Ken Fulmer (kefulmer)</t>
        </is>
      </c>
      <c r="O1048" t="inlineStr">
        <is>
          <t>No</t>
        </is>
      </c>
      <c r="P1048" t="inlineStr">
        <is>
          <t>Parity (raw): 0 | Controller access (survey): No</t>
        </is>
      </c>
      <c r="Q1048" s="17" t="n">
        <v>0</v>
      </c>
    </row>
    <row r="1049">
      <c r="A1049" t="inlineStr">
        <is>
          <t>Southern California Edison</t>
        </is>
      </c>
      <c r="D1049" t="inlineStr">
        <is>
          <t>Cat-C/SDA</t>
        </is>
      </c>
      <c r="N1049" t="inlineStr">
        <is>
          <t>Tim Roberts (timrober)</t>
        </is>
      </c>
      <c r="O1049" t="inlineStr">
        <is>
          <t>No</t>
        </is>
      </c>
      <c r="P1049" t="inlineStr">
        <is>
          <t>Parity (raw): 0% | Controller access (survey): No</t>
        </is>
      </c>
      <c r="Q1049" s="17" t="n">
        <v>0</v>
      </c>
    </row>
    <row r="1050">
      <c r="A1050" t="inlineStr">
        <is>
          <t>General Motors, United Health Group, Deloitte, Costco, Amtrak and Commonwealth of Pennsylvania</t>
        </is>
      </c>
      <c r="D1050" t="inlineStr">
        <is>
          <t>Cat-C/SDA</t>
        </is>
      </c>
      <c r="N1050" t="inlineStr">
        <is>
          <t>Mark Renzo (mrenzo)</t>
        </is>
      </c>
      <c r="O1050" t="inlineStr">
        <is>
          <t>No</t>
        </is>
      </c>
      <c r="P1050" t="inlineStr">
        <is>
          <t>Parity (raw): 0% | Controller access (survey): No</t>
        </is>
      </c>
      <c r="Q1050" s="17" t="n">
        <v>0</v>
      </c>
    </row>
    <row r="1051">
      <c r="A1051" t="inlineStr">
        <is>
          <t>Truist</t>
        </is>
      </c>
      <c r="D1051" t="inlineStr">
        <is>
          <t>SD-WAN</t>
        </is>
      </c>
      <c r="N1051" t="inlineStr">
        <is>
          <t>Shawn Leonard (shleonar)</t>
        </is>
      </c>
      <c r="O1051" t="inlineStr">
        <is>
          <t>No</t>
        </is>
      </c>
      <c r="P1051" t="inlineStr">
        <is>
          <t>Parity (raw): 0% | Controller access (survey): No</t>
        </is>
      </c>
      <c r="Q1051" s="17" t="n">
        <v>0</v>
      </c>
    </row>
    <row r="1052">
      <c r="A1052" t="inlineStr">
        <is>
          <t>Truist</t>
        </is>
      </c>
      <c r="D1052" t="inlineStr">
        <is>
          <t>Cat-C/SDA</t>
        </is>
      </c>
      <c r="N1052" t="inlineStr">
        <is>
          <t>Shawn Leonard (shleonar)</t>
        </is>
      </c>
      <c r="O1052" t="inlineStr">
        <is>
          <t>No</t>
        </is>
      </c>
      <c r="P1052" t="inlineStr">
        <is>
          <t>Parity (raw): 0% | Controller access (survey): No</t>
        </is>
      </c>
      <c r="Q1052" s="17" t="n">
        <v>0</v>
      </c>
    </row>
    <row r="1053">
      <c r="A1053" t="inlineStr">
        <is>
          <t>Carnival Cruises</t>
        </is>
      </c>
      <c r="C1053" t="inlineStr">
        <is>
          <t>GES-East</t>
        </is>
      </c>
      <c r="D1053" t="inlineStr">
        <is>
          <t>Cat-C/SDA</t>
        </is>
      </c>
      <c r="N1053" t="inlineStr">
        <is>
          <t>Ricard Badia (ribadia)</t>
        </is>
      </c>
      <c r="O1053" t="inlineStr">
        <is>
          <t>No</t>
        </is>
      </c>
      <c r="P1053" t="inlineStr">
        <is>
          <t>Parity (raw): 0 | Controller access (survey): No</t>
        </is>
      </c>
      <c r="Q1053" s="17" t="n">
        <v>0</v>
      </c>
    </row>
    <row r="1054">
      <c r="A1054" t="inlineStr">
        <is>
          <t>State Street bank</t>
        </is>
      </c>
      <c r="C1054" t="inlineStr">
        <is>
          <t>GES-East</t>
        </is>
      </c>
      <c r="D1054" t="inlineStr">
        <is>
          <t>Cat-C/SDA</t>
        </is>
      </c>
      <c r="N1054" t="inlineStr">
        <is>
          <t>Jim Phillipo (jamphill)</t>
        </is>
      </c>
      <c r="O1054" t="inlineStr">
        <is>
          <t>No</t>
        </is>
      </c>
      <c r="P1054" t="inlineStr">
        <is>
          <t>Parity (raw): N/A | Controller access (survey): No</t>
        </is>
      </c>
    </row>
    <row r="1055">
      <c r="A1055" t="inlineStr">
        <is>
          <t>ExxonMobil</t>
        </is>
      </c>
      <c r="D1055" t="inlineStr">
        <is>
          <t>SD-WAN</t>
        </is>
      </c>
      <c r="N1055" t="inlineStr">
        <is>
          <t>Martin Tassi (martassi)</t>
        </is>
      </c>
      <c r="O1055" t="inlineStr">
        <is>
          <t>No</t>
        </is>
      </c>
      <c r="P1055" t="inlineStr">
        <is>
          <t>Parity (raw): 0% | Controller access (survey): No</t>
        </is>
      </c>
      <c r="Q1055" s="17" t="n">
        <v>0</v>
      </c>
    </row>
    <row r="1056">
      <c r="A1056" t="inlineStr">
        <is>
          <t>Exelon</t>
        </is>
      </c>
      <c r="D1056" t="inlineStr">
        <is>
          <t>SD-WAN</t>
        </is>
      </c>
      <c r="N1056" t="inlineStr">
        <is>
          <t>Michael Stewart (mstewar2)</t>
        </is>
      </c>
      <c r="O1056" t="inlineStr">
        <is>
          <t>Yes</t>
        </is>
      </c>
      <c r="P1056" t="inlineStr">
        <is>
          <t>Parity (raw): 100 | Report: https://cisco-my.sharepoint.com/personal/dhprajap_cisco_com/Documents/Apps/Microsoft%20Forms/Customer%20NaC%20Parity%20Database/Question/Exelon-sdwan-report_Michael%20Stewart.pdf | Controller access (survey): Yes</t>
        </is>
      </c>
      <c r="Q1056" s="17" t="n">
        <v>1</v>
      </c>
    </row>
    <row r="1057">
      <c r="A1057" t="inlineStr">
        <is>
          <t>Exelon</t>
        </is>
      </c>
      <c r="D1057" t="inlineStr">
        <is>
          <t>Cat-C/SDA</t>
        </is>
      </c>
      <c r="N1057" t="inlineStr">
        <is>
          <t>Michael Stewart (mstewar2)</t>
        </is>
      </c>
      <c r="O1057" t="inlineStr">
        <is>
          <t>No</t>
        </is>
      </c>
      <c r="P1057" t="inlineStr">
        <is>
          <t>Parity (raw): 0 | Controller access (survey): Yes</t>
        </is>
      </c>
      <c r="Q1057" s="17" t="n">
        <v>0</v>
      </c>
    </row>
    <row r="1058">
      <c r="A1058" t="inlineStr">
        <is>
          <t>Bank Of America, Cedars Sinai</t>
        </is>
      </c>
      <c r="D1058" t="inlineStr">
        <is>
          <t>Cat-C/SDA</t>
        </is>
      </c>
      <c r="N1058" t="inlineStr">
        <is>
          <t>Sharan Shet (sharans@cisco.com)</t>
        </is>
      </c>
      <c r="O1058" t="inlineStr">
        <is>
          <t>No</t>
        </is>
      </c>
      <c r="P1058" t="inlineStr">
        <is>
          <t>Parity (raw): NA | Controller access (survey): No</t>
        </is>
      </c>
    </row>
    <row r="1059">
      <c r="A1059" t="inlineStr">
        <is>
          <t>Gilead</t>
        </is>
      </c>
      <c r="D1059" t="inlineStr">
        <is>
          <t>Cat-C/SDA</t>
        </is>
      </c>
      <c r="N1059" t="inlineStr">
        <is>
          <t>Yi-Hung Chung (ychung)</t>
        </is>
      </c>
      <c r="O1059" t="inlineStr">
        <is>
          <t>Yes</t>
        </is>
      </c>
      <c r="P1059" t="inlineStr">
        <is>
          <t>Parity (raw): 100% | Report: https://cisco-my.sharepoint.com/personal/dhprajap_cisco_com/Documents/Apps/Microsoft%20Forms/Customer%20NaC%20Parity%20Database/Question/Gilead_Sciences-CatC-Tokyo_JPAC-parity-report_Yi-Hung%20Chung.pdf; https://cisco-my.sharepoint.com/personal/dhprajap_cisco_com/Documents/Apps/Microsoft%20Forms/Customer%20NaC%20Parity%20Database/Question/Gilead_Sciences-CatC-London_EMEA-parity-repor_Yi-Hung%20Chung.pdf; https://cisco-my.sharepoint.com/personal/dhprajap_cisco_com/Documents/Apps/Microsoft%20Forms/Customer%20NaC%20Parity%20Database/Question/Gilead_Sciences-CatC-Ashburn-parity-report_Yi-Hung%20Chung.pdf; https://cisco-my.sharepoint.com/personal/dhprajap_cisco_com/Documents/Apps/Microsoft%20Forms/Customer%20NaC%20Parity%20Database/Question/Gilead_Sciences-CatC-SanJose-parity-report_Yi-Hung%20Chung.pdf | Controller access (survey): Yes</t>
        </is>
      </c>
      <c r="Q1059" s="17" t="n">
        <v>1</v>
      </c>
    </row>
    <row r="1060">
      <c r="A1060" t="inlineStr">
        <is>
          <t>HCA Healthcare</t>
        </is>
      </c>
      <c r="D1060" t="inlineStr">
        <is>
          <t>SD-WAN</t>
        </is>
      </c>
      <c r="N1060" t="inlineStr">
        <is>
          <t>Freddy Morales (fremoral)</t>
        </is>
      </c>
      <c r="O1060" t="inlineStr">
        <is>
          <t>Yes</t>
        </is>
      </c>
      <c r="P1060" t="inlineStr">
        <is>
          <t>Parity (raw): 100 | Report: https://cisco-my.sharepoint.com/personal/dhprajap_cisco_com/Documents/Apps/Microsoft%20Forms/Customer%20NaC%20Parity%20Database/Question/sdwan-report-HCA.md_Freddy%20Morales.pdf | Controller access (survey): Yes</t>
        </is>
      </c>
      <c r="Q1060" s="17" t="n">
        <v>1</v>
      </c>
    </row>
    <row r="1061">
      <c r="A1061" t="inlineStr">
        <is>
          <t>NYULH</t>
        </is>
      </c>
      <c r="C1061" t="inlineStr">
        <is>
          <t>GES-East</t>
        </is>
      </c>
      <c r="D1061" t="inlineStr">
        <is>
          <t>Cat-C/SDA</t>
        </is>
      </c>
      <c r="N1061" t="inlineStr">
        <is>
          <t>Alex Guckin (aguckin)</t>
        </is>
      </c>
      <c r="O1061" t="inlineStr">
        <is>
          <t>No</t>
        </is>
      </c>
      <c r="P1061" t="inlineStr">
        <is>
          <t>Parity (raw): 0 | Controller access (survey): No</t>
        </is>
      </c>
      <c r="Q1061" s="17" t="n">
        <v>0</v>
      </c>
    </row>
    <row r="1062">
      <c r="A1062" t="inlineStr">
        <is>
          <t>Micron</t>
        </is>
      </c>
      <c r="D1062" t="inlineStr">
        <is>
          <t>SD-WAN</t>
        </is>
      </c>
      <c r="N1062" t="inlineStr">
        <is>
          <t>Freddy Morales (fremoral)</t>
        </is>
      </c>
      <c r="O1062" t="inlineStr">
        <is>
          <t>Yes</t>
        </is>
      </c>
      <c r="P1062" t="inlineStr">
        <is>
          <t>Parity (raw): 100 | Report: https://cisco-my.sharepoint.com/personal/dhprajap_cisco_com/Documents/Apps/Microsoft%20Forms/Customer%20NaC%20Parity%20Database/Question/sdwan-report-Micron_Freddy%20Morales.pdf | Controller access (survey): Yes</t>
        </is>
      </c>
      <c r="Q1062" s="17" t="n">
        <v>1</v>
      </c>
    </row>
    <row r="1063">
      <c r="A1063" t="inlineStr">
        <is>
          <t>Blackrock</t>
        </is>
      </c>
      <c r="C1063" t="inlineStr">
        <is>
          <t>GES-East</t>
        </is>
      </c>
      <c r="D1063" t="inlineStr">
        <is>
          <t>Cat-C/SDA</t>
        </is>
      </c>
      <c r="N1063" t="inlineStr">
        <is>
          <t>Daniel Brooker (dabrooke)</t>
        </is>
      </c>
      <c r="O1063" t="inlineStr">
        <is>
          <t>No</t>
        </is>
      </c>
      <c r="P1063" t="inlineStr">
        <is>
          <t>Parity (raw): 0% | Controller access (survey): No</t>
        </is>
      </c>
      <c r="Q1063" s="17" t="n">
        <v>0</v>
      </c>
    </row>
    <row r="1064">
      <c r="A1064" t="inlineStr">
        <is>
          <t>TIAA</t>
        </is>
      </c>
      <c r="C1064" t="inlineStr">
        <is>
          <t>GES-East</t>
        </is>
      </c>
      <c r="D1064" t="inlineStr">
        <is>
          <t>Cat-C/SDA</t>
        </is>
      </c>
      <c r="N1064" t="inlineStr">
        <is>
          <t>Daniel Brooker (dabrooke)</t>
        </is>
      </c>
      <c r="O1064" t="inlineStr">
        <is>
          <t>No</t>
        </is>
      </c>
      <c r="P1064" t="inlineStr">
        <is>
          <t>Parity (raw): 0% | Controller access (survey): No</t>
        </is>
      </c>
      <c r="Q1064" s="17" t="n">
        <v>0</v>
      </c>
    </row>
    <row r="1065">
      <c r="A1065" t="inlineStr">
        <is>
          <t>Ford</t>
        </is>
      </c>
      <c r="D1065" t="inlineStr">
        <is>
          <t>SD-WAN</t>
        </is>
      </c>
      <c r="N1065" t="inlineStr">
        <is>
          <t>Brett Rosenbrook (brosenbr)</t>
        </is>
      </c>
      <c r="O1065" t="inlineStr">
        <is>
          <t>No</t>
        </is>
      </c>
      <c r="P1065" t="inlineStr">
        <is>
          <t>Parity (raw): No access | Controller access (survey): No</t>
        </is>
      </c>
    </row>
    <row r="1066">
      <c r="A1066" t="inlineStr">
        <is>
          <t>British Telecom - Bristol Myers Squibb</t>
        </is>
      </c>
      <c r="D1066" t="inlineStr">
        <is>
          <t>SD-WAN</t>
        </is>
      </c>
      <c r="N1066" t="inlineStr">
        <is>
          <t>Sri Raghava Chennupati (chchennu)</t>
        </is>
      </c>
      <c r="O1066" t="inlineStr">
        <is>
          <t>Yes</t>
        </is>
      </c>
      <c r="P1066" t="inlineStr">
        <is>
          <t>Parity (raw): 100 | Report: https://cisco-my.sharepoint.com/personal/dhprajap_cisco_com/Documents/Apps/Microsoft%20Forms/Customer%20NaC%20Parity%20Database/Question/BT-sdwan-report-prod_Sri%20Raghava%20Chennupa.pdf | Controller access (survey): Yes</t>
        </is>
      </c>
      <c r="Q1066" s="17" t="n">
        <v>1</v>
      </c>
    </row>
    <row r="1067">
      <c r="A1067" t="inlineStr">
        <is>
          <t>ICE -DHS (Department of Homeland Security)</t>
        </is>
      </c>
      <c r="D1067" t="inlineStr">
        <is>
          <t>SD-WAN</t>
        </is>
      </c>
      <c r="N1067" t="inlineStr">
        <is>
          <t>Sinan Asig (sasig)</t>
        </is>
      </c>
      <c r="O1067" t="inlineStr">
        <is>
          <t>No</t>
        </is>
      </c>
      <c r="P1067" t="inlineStr">
        <is>
          <t>Parity (raw): N/A | Controller access (survey): No</t>
        </is>
      </c>
    </row>
    <row r="1068">
      <c r="A1068" t="inlineStr">
        <is>
          <t>Mass General Brigham</t>
        </is>
      </c>
      <c r="C1068" t="inlineStr">
        <is>
          <t>GES-East</t>
        </is>
      </c>
      <c r="D1068" t="inlineStr">
        <is>
          <t>SD-WAN</t>
        </is>
      </c>
      <c r="N1068" t="inlineStr">
        <is>
          <t>Clark Dyson (cldyson)</t>
        </is>
      </c>
      <c r="O1068" t="inlineStr">
        <is>
          <t>Yes</t>
        </is>
      </c>
      <c r="P1068" t="inlineStr">
        <is>
          <t>Parity (raw): 100 | Report: https://cisco-my.sharepoint.com/personal/dhprajap_cisco_com/Documents/Apps/Microsoft%20Forms/Customer%20NaC%20Parity%20Database/Question/mgb-sdwan-report_Clark%20Dyson.pdf | Controller access (survey): Yes</t>
        </is>
      </c>
      <c r="Q1068" s="17" t="n">
        <v>1</v>
      </c>
    </row>
    <row r="1069">
      <c r="A1069" t="inlineStr">
        <is>
          <t>CDK Global</t>
        </is>
      </c>
      <c r="D1069" t="inlineStr">
        <is>
          <t>SD-WAN</t>
        </is>
      </c>
      <c r="N1069" t="inlineStr">
        <is>
          <t>Clark Dyson (cldyson)</t>
        </is>
      </c>
      <c r="O1069" t="inlineStr">
        <is>
          <t>Yes</t>
        </is>
      </c>
      <c r="P1069" t="inlineStr">
        <is>
          <t>Parity (raw): 100 | Report: https://cisco-my.sharepoint.com/personal/dhprajap_cisco_com/Documents/Apps/Microsoft%20Forms/Customer%20NaC%20Parity%20Database/Question/cdk-sdwan-report_Clark%20Dyson.pdf | Controller access (survey): Yes</t>
        </is>
      </c>
      <c r="Q1069" s="17" t="n">
        <v>1</v>
      </c>
    </row>
    <row r="1070">
      <c r="A1070" t="inlineStr">
        <is>
          <t>Commonspirit</t>
        </is>
      </c>
      <c r="C1070" t="inlineStr">
        <is>
          <t>GES-West</t>
        </is>
      </c>
      <c r="D1070" t="inlineStr">
        <is>
          <t>Cat-C/SDA</t>
        </is>
      </c>
      <c r="N1070" t="inlineStr">
        <is>
          <t>Mahim Hingorani (mahingorani)</t>
        </is>
      </c>
      <c r="O1070" t="inlineStr">
        <is>
          <t>No</t>
        </is>
      </c>
      <c r="P1070" t="inlineStr">
        <is>
          <t>Parity (raw): No Access | Controller access (survey): No</t>
        </is>
      </c>
    </row>
    <row r="1071">
      <c r="A1071" t="inlineStr">
        <is>
          <t>Boeing</t>
        </is>
      </c>
      <c r="C1071" t="inlineStr">
        <is>
          <t>GES-West</t>
        </is>
      </c>
      <c r="D1071" t="inlineStr">
        <is>
          <t>Cat-C/SDA</t>
        </is>
      </c>
      <c r="N1071" t="inlineStr">
        <is>
          <t>Mahim Hingorani (mahingor)</t>
        </is>
      </c>
      <c r="O1071" t="inlineStr">
        <is>
          <t>No</t>
        </is>
      </c>
      <c r="P1071" t="inlineStr">
        <is>
          <t>Parity (raw): No Access | Controller access (survey): No</t>
        </is>
      </c>
    </row>
    <row r="1072">
      <c r="A1072" t="inlineStr">
        <is>
          <t>BNY</t>
        </is>
      </c>
      <c r="C1072" t="inlineStr">
        <is>
          <t>GES-Premier</t>
        </is>
      </c>
      <c r="D1072" t="inlineStr">
        <is>
          <t>Cat-C/SDA</t>
        </is>
      </c>
      <c r="N1072" t="inlineStr">
        <is>
          <t>Mahim Hingorani (mahingorani)</t>
        </is>
      </c>
      <c r="O1072" t="inlineStr">
        <is>
          <t>No</t>
        </is>
      </c>
      <c r="P1072" t="inlineStr">
        <is>
          <t>Parity (raw): Error in collection (Reached out to Mikey) | Controller access (survey): Yes</t>
        </is>
      </c>
    </row>
    <row r="1073">
      <c r="A1073" t="inlineStr">
        <is>
          <t>Charles Schwab</t>
        </is>
      </c>
      <c r="C1073" t="inlineStr">
        <is>
          <t>GES-West</t>
        </is>
      </c>
      <c r="D1073" t="inlineStr">
        <is>
          <t>Cat-C/SDA</t>
        </is>
      </c>
      <c r="N1073" t="inlineStr">
        <is>
          <t>Mahim Hingorani (mahingor)</t>
        </is>
      </c>
      <c r="O1073" t="inlineStr">
        <is>
          <t>No</t>
        </is>
      </c>
      <c r="P1073" t="inlineStr">
        <is>
          <t>Parity (raw): No Access | Controller access (survey): No</t>
        </is>
      </c>
    </row>
    <row r="1074">
      <c r="A1074" t="inlineStr">
        <is>
          <t>HCA</t>
        </is>
      </c>
      <c r="C1074" t="inlineStr">
        <is>
          <t>GES-Premier</t>
        </is>
      </c>
      <c r="D1074" t="inlineStr">
        <is>
          <t>Cat-C/SDA</t>
        </is>
      </c>
      <c r="N1074" t="inlineStr">
        <is>
          <t>Jacky Ball</t>
        </is>
      </c>
      <c r="O1074" t="inlineStr">
        <is>
          <t>Yes</t>
        </is>
      </c>
      <c r="P1074" t="inlineStr">
        <is>
          <t>Parity (raw): 100 | Report: https://cisco-my.sharepoint.com/personal/dhprajap_cisco_com/Documents/Apps/Microsoft%20Forms/Customer%20NaC%20Parity%20Database/Question/Cap_catalystcenter-report_Jacky%20Ball.pdf; https://cisco-my.sharepoint.com/personal/dhprajap_cisco_com/Documents/Apps/Microsoft%20Forms/Customer%20NaC%20Parity%20Database/Question/Efl_catalystcenter-report_Jacky%20Ball.pdf | Controller access (survey): Yes</t>
        </is>
      </c>
      <c r="Q1074" s="17" t="n">
        <v>1</v>
      </c>
    </row>
    <row r="1075">
      <c r="A1075" t="inlineStr">
        <is>
          <t>Gilead</t>
        </is>
      </c>
      <c r="C1075" t="inlineStr">
        <is>
          <t>GES-West</t>
        </is>
      </c>
      <c r="D1075" t="inlineStr">
        <is>
          <t>SD-WAN</t>
        </is>
      </c>
      <c r="N1075" t="inlineStr">
        <is>
          <t>Amna Ali (amnali)</t>
        </is>
      </c>
      <c r="O1075" t="inlineStr">
        <is>
          <t>No</t>
        </is>
      </c>
      <c r="P1075" t="inlineStr">
        <is>
          <t>Parity (raw): I don't have direct access to the customer's Controllers. | Controller access (survey): No</t>
        </is>
      </c>
    </row>
    <row r="1076">
      <c r="A1076" t="inlineStr">
        <is>
          <t>TransUnion</t>
        </is>
      </c>
      <c r="D1076" t="inlineStr">
        <is>
          <t>SD-WAN</t>
        </is>
      </c>
      <c r="N1076" t="inlineStr">
        <is>
          <t>Amna Ali (amnali)</t>
        </is>
      </c>
      <c r="O1076" t="inlineStr">
        <is>
          <t>No</t>
        </is>
      </c>
      <c r="P1076" t="inlineStr">
        <is>
          <t>Parity (raw): I don't have direct access to the customer's Controllers. | Controller access (survey): No</t>
        </is>
      </c>
    </row>
    <row r="1077">
      <c r="A1077" t="inlineStr">
        <is>
          <t>Pacific Gas and Electric</t>
        </is>
      </c>
      <c r="C1077" t="inlineStr">
        <is>
          <t>GES-West</t>
        </is>
      </c>
      <c r="D1077" t="inlineStr">
        <is>
          <t>SD-WAN</t>
        </is>
      </c>
      <c r="N1077" t="inlineStr">
        <is>
          <t>Jagadesh Nagaraj (jagadnag)</t>
        </is>
      </c>
      <c r="O1077" t="inlineStr">
        <is>
          <t>No</t>
        </is>
      </c>
      <c r="P1077" t="inlineStr">
        <is>
          <t>Parity (raw): We are waiting to get access to the controller, it is still in POC | Controller access (survey): No</t>
        </is>
      </c>
    </row>
    <row r="1078">
      <c r="A1078" t="inlineStr">
        <is>
          <t>MGB SVS Lab</t>
        </is>
      </c>
      <c r="C1078" t="inlineStr">
        <is>
          <t>GES-Premier</t>
        </is>
      </c>
      <c r="D1078" t="inlineStr">
        <is>
          <t>Cat-C/SDA</t>
        </is>
      </c>
      <c r="N1078" t="inlineStr">
        <is>
          <t>Thomas Dunteman (tduntema)</t>
        </is>
      </c>
      <c r="O1078" t="inlineStr">
        <is>
          <t>Yes</t>
        </is>
      </c>
      <c r="P1078" t="inlineStr">
        <is>
          <t>Parity (raw): 58 | Report: https://cisco-my.sharepoint.com/personal/dhprajap_cisco_com/Documents/Apps/Microsoft%20Forms/Customer%20NaC%20Parity%20Database/Question/MGB%20SVS%20Lab%20nac-parity_Thomas%20Dunteman.pdf | Controller access (survey): Yes</t>
        </is>
      </c>
      <c r="Q1078" s="17" t="n">
        <v>0.58</v>
      </c>
    </row>
    <row r="1079">
      <c r="A1079" t="inlineStr">
        <is>
          <t>MGB Cluster 2</t>
        </is>
      </c>
      <c r="C1079" t="inlineStr">
        <is>
          <t>GES-Premier</t>
        </is>
      </c>
      <c r="D1079" t="inlineStr">
        <is>
          <t>Cat-C/SDA</t>
        </is>
      </c>
      <c r="N1079" t="inlineStr">
        <is>
          <t>Thomas Dunteman (tduntema)</t>
        </is>
      </c>
      <c r="O1079" t="inlineStr">
        <is>
          <t>Yes</t>
        </is>
      </c>
      <c r="P1079" t="inlineStr">
        <is>
          <t>Parity (raw): 61.7 | Report: https://cisco-my.sharepoint.com/personal/dhprajap_cisco_com/Documents/Apps/Microsoft%20Forms/Customer%20NaC%20Parity%20Database/Question/MGB%20Cluster%202%20nac-parity_Thomas%20Dunteman.pdf | Controller access (survey): Yes</t>
        </is>
      </c>
      <c r="Q1079" s="17" t="n">
        <v>0.617</v>
      </c>
    </row>
  </sheetData>
  <conditionalFormatting sqref="B2:B1048576">
    <cfRule type="containsText" priority="1" operator="containsText" dxfId="1" text="None">
      <formula>NOT(ISERROR(SEARCH("None",B2)))</formula>
    </cfRule>
    <cfRule type="containsText" priority="2" operator="containsText" dxfId="0" text="High">
      <formula>NOT(ISERROR(SEARCH("High",B2)))</formula>
    </cfRule>
  </conditionalFormatting>
  <conditionalFormatting sqref="J2:J1048576">
    <cfRule type="colorScale" priority="3">
      <colorScale>
        <cfvo type="num" val="0"/>
        <cfvo type="num" val="5"/>
        <cfvo type="num" val="10"/>
        <color rgb="FFFF0000"/>
        <color rgb="FFFFFF00"/>
        <color rgb="FF00B050"/>
      </colorScale>
    </cfRule>
  </conditionalFormatting>
  <dataValidations count="8">
    <dataValidation sqref="C2:C1048576" showDropDown="0" showInputMessage="1" showErrorMessage="1" allowBlank="1" type="list">
      <formula1>INDIRECT("RefValues[cust_segment]")</formula1>
    </dataValidation>
    <dataValidation sqref="D2:D1048576" showDropDown="0" showInputMessage="1" showErrorMessage="1" allowBlank="1" type="list">
      <formula1>INDIRECT("RefValues[tech]")</formula1>
    </dataValidation>
    <dataValidation sqref="E2:E1048576" showDropDown="0" showInputMessage="1" showErrorMessage="1" allowBlank="1" type="list">
      <formula1>INDIRECT("RefValues[ext_svc]")</formula1>
    </dataValidation>
    <dataValidation sqref="F2:F1048576" showDropDown="0" showInputMessage="1" showErrorMessage="1" allowBlank="1" type="list">
      <formula1>INDIRECT("RefValues[deal_size]")</formula1>
    </dataValidation>
    <dataValidation sqref="G2:G1048576" showDropDown="0" showInputMessage="1" showErrorMessage="1" allowBlank="1" type="list">
      <formula1>INDIRECT("RefValues[net_access]")</formula1>
    </dataValidation>
    <dataValidation sqref="I2:I1048576" showDropDown="0" showInputMessage="1" showErrorMessage="1" allowBlank="1" type="list">
      <formula1>INDIRECT("RefValues[impl_team]")</formula1>
    </dataValidation>
    <dataValidation sqref="H2:H1048576" showDropDown="0" showInputMessage="1" showErrorMessage="1" allowBlank="1" type="list" operator="greaterThan">
      <formula1>INDIRECT("RefValues[start_date]")</formula1>
    </dataValidation>
    <dataValidation sqref="B2:B1048576" showDropDown="0" showInputMessage="1" showErrorMessage="1" allowBlank="1" type="list">
      <formula1>INDIRECT("RefValues[priority]")</formula1>
    </dataValidation>
  </dataValidations>
  <pageMargins left="0.7" right="0.7" top="0.75" bottom="0.75" header="0.3" footer="0.3"/>
  <headerFooter>
    <oddHeader/>
    <oddFooter>&amp;R&amp;"Aptos"&amp;8 &amp;K000000_x000d_# Cisco Confidential</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42"/>
  <sheetViews>
    <sheetView topLeftCell="F1" zoomScale="150" zoomScaleNormal="150" workbookViewId="0">
      <selection activeCell="M3" sqref="M3"/>
    </sheetView>
  </sheetViews>
  <sheetFormatPr baseColWidth="10" defaultColWidth="11.5" defaultRowHeight="16"/>
  <cols>
    <col width="19" customWidth="1" min="2" max="2"/>
    <col width="14" customWidth="1" min="3" max="3"/>
    <col width="17.33203125" customWidth="1" min="4" max="4"/>
    <col width="21.5" customWidth="1" min="5" max="5"/>
    <col width="16.6640625" customWidth="1" min="6" max="6"/>
    <col width="27.6640625" customWidth="1" min="7" max="7"/>
    <col width="20.6640625" customWidth="1" min="8" max="8"/>
    <col width="22.5" bestFit="1" customWidth="1" min="11" max="11"/>
    <col width="17.1640625" customWidth="1" min="12" max="12"/>
  </cols>
  <sheetData>
    <row r="2" ht="17" customHeight="1">
      <c r="B2" s="2" t="inlineStr">
        <is>
          <t>cust_segment</t>
        </is>
      </c>
      <c r="C2" s="2" t="inlineStr">
        <is>
          <t>tech</t>
        </is>
      </c>
      <c r="D2" s="2" t="inlineStr">
        <is>
          <t>ext_svc</t>
        </is>
      </c>
      <c r="E2" s="2" t="inlineStr">
        <is>
          <t>deal_size</t>
        </is>
      </c>
      <c r="F2" s="2" t="inlineStr">
        <is>
          <t>net_access</t>
        </is>
      </c>
      <c r="G2" s="2" t="inlineStr">
        <is>
          <t>start_date</t>
        </is>
      </c>
      <c r="H2" s="2" t="inlineStr">
        <is>
          <t>impl_team</t>
        </is>
      </c>
      <c r="I2" s="2" t="inlineStr">
        <is>
          <t>priority</t>
        </is>
      </c>
      <c r="K2" t="inlineStr">
        <is>
          <t>category</t>
        </is>
      </c>
      <c r="L2" t="inlineStr">
        <is>
          <t>value</t>
        </is>
      </c>
      <c r="M2" t="inlineStr">
        <is>
          <t>score</t>
        </is>
      </c>
    </row>
    <row r="3">
      <c r="B3" t="inlineStr">
        <is>
          <t>GES-East</t>
        </is>
      </c>
      <c r="C3" t="inlineStr">
        <is>
          <t>SD-WAN</t>
        </is>
      </c>
      <c r="D3" t="inlineStr">
        <is>
          <t>PDI</t>
        </is>
      </c>
      <c r="E3" t="inlineStr">
        <is>
          <t>&lt;$100,000</t>
        </is>
      </c>
      <c r="F3" t="inlineStr">
        <is>
          <t>Yes</t>
        </is>
      </c>
      <c r="G3" t="inlineStr">
        <is>
          <t>1 Month</t>
        </is>
      </c>
      <c r="H3" t="inlineStr">
        <is>
          <t>Theater</t>
        </is>
      </c>
      <c r="I3" t="inlineStr">
        <is>
          <t>High</t>
        </is>
      </c>
      <c r="K3">
        <f>MainTable[[#Headers],[Customer Segment]]</f>
        <v/>
      </c>
      <c r="L3">
        <f>RefValues[[#This Row],[cust_segment]]</f>
        <v/>
      </c>
      <c r="M3" s="3" t="n">
        <v>7</v>
      </c>
    </row>
    <row r="4">
      <c r="B4" t="inlineStr">
        <is>
          <t>GES-West</t>
        </is>
      </c>
      <c r="C4" t="inlineStr">
        <is>
          <t>Cat-C/SDA</t>
        </is>
      </c>
      <c r="D4" t="inlineStr">
        <is>
          <t>BCS/LCS</t>
        </is>
      </c>
      <c r="E4" t="inlineStr">
        <is>
          <t>$100,000-$500,000</t>
        </is>
      </c>
      <c r="F4" t="inlineStr">
        <is>
          <t>No</t>
        </is>
      </c>
      <c r="G4" t="inlineStr">
        <is>
          <t>3 Months</t>
        </is>
      </c>
      <c r="H4" t="inlineStr">
        <is>
          <t>Migration</t>
        </is>
      </c>
      <c r="I4" t="inlineStr">
        <is>
          <t>Low</t>
        </is>
      </c>
      <c r="K4">
        <f>MainTable[[#Headers],[Customer Segment]]</f>
        <v/>
      </c>
      <c r="L4">
        <f>RefValues[[#This Row],[cust_segment]]</f>
        <v/>
      </c>
      <c r="M4" s="3" t="n">
        <v>2</v>
      </c>
    </row>
    <row r="5">
      <c r="B5" t="inlineStr">
        <is>
          <t>GES-Central</t>
        </is>
      </c>
      <c r="C5" t="inlineStr">
        <is>
          <t>ACI</t>
        </is>
      </c>
      <c r="D5" t="inlineStr">
        <is>
          <t>SME/SAS</t>
        </is>
      </c>
      <c r="E5" t="inlineStr">
        <is>
          <t>$500,000-$1M</t>
        </is>
      </c>
      <c r="G5" t="inlineStr">
        <is>
          <t>6 Months</t>
        </is>
      </c>
      <c r="H5" t="inlineStr">
        <is>
          <t>Partner</t>
        </is>
      </c>
      <c r="I5" t="inlineStr">
        <is>
          <t>None</t>
        </is>
      </c>
      <c r="K5">
        <f>MainTable[[#Headers],[Customer Segment]]</f>
        <v/>
      </c>
      <c r="L5">
        <f>RefValues[[#This Row],[cust_segment]]</f>
        <v/>
      </c>
      <c r="M5" s="3" t="n">
        <v>2</v>
      </c>
    </row>
    <row r="6">
      <c r="B6" t="inlineStr">
        <is>
          <t>GES-Premier</t>
        </is>
      </c>
      <c r="C6" t="inlineStr">
        <is>
          <t>NDFC</t>
        </is>
      </c>
      <c r="D6" t="inlineStr">
        <is>
          <t>CMS</t>
        </is>
      </c>
      <c r="E6" t="inlineStr">
        <is>
          <t>&gt;$1M</t>
        </is>
      </c>
      <c r="G6" t="inlineStr">
        <is>
          <t>9 Months</t>
        </is>
      </c>
      <c r="H6" t="inlineStr">
        <is>
          <t>Customer</t>
        </is>
      </c>
      <c r="K6">
        <f>MainTable[[#Headers],[Customer Segment]]</f>
        <v/>
      </c>
      <c r="L6">
        <f>RefValues[[#This Row],[cust_segment]]</f>
        <v/>
      </c>
      <c r="M6" s="3" t="n">
        <v>3</v>
      </c>
    </row>
    <row r="7">
      <c r="B7" t="inlineStr">
        <is>
          <t>Other</t>
        </is>
      </c>
      <c r="C7" t="inlineStr">
        <is>
          <t>IOS-XE</t>
        </is>
      </c>
      <c r="D7" t="inlineStr">
        <is>
          <t>Partner-Led</t>
        </is>
      </c>
      <c r="G7" t="inlineStr">
        <is>
          <t>1 Year</t>
        </is>
      </c>
      <c r="H7" t="inlineStr">
        <is>
          <t>CMS</t>
        </is>
      </c>
      <c r="K7">
        <f>MainTable[[#Headers],[Customer Segment]]</f>
        <v/>
      </c>
      <c r="L7">
        <f>RefValues[[#This Row],[cust_segment]]</f>
        <v/>
      </c>
      <c r="M7" s="3" t="n">
        <v>1</v>
      </c>
    </row>
    <row r="8">
      <c r="C8" t="inlineStr">
        <is>
          <t>IOS-XR</t>
        </is>
      </c>
      <c r="D8" t="inlineStr">
        <is>
          <t>None</t>
        </is>
      </c>
      <c r="H8" t="inlineStr">
        <is>
          <t>Other</t>
        </is>
      </c>
      <c r="K8">
        <f>MainTable[[#Headers],[Technologies]]</f>
        <v/>
      </c>
      <c r="L8">
        <f>C3</f>
        <v/>
      </c>
      <c r="M8" s="3" t="n">
        <v>10</v>
      </c>
    </row>
    <row r="9">
      <c r="C9" t="inlineStr">
        <is>
          <t>NX-OS</t>
        </is>
      </c>
      <c r="D9" t="inlineStr">
        <is>
          <t>Other</t>
        </is>
      </c>
      <c r="K9">
        <f>MainTable[[#Headers],[Technologies]]</f>
        <v/>
      </c>
      <c r="L9">
        <f>C4</f>
        <v/>
      </c>
      <c r="M9" s="3" t="n">
        <v>8</v>
      </c>
    </row>
    <row r="10">
      <c r="C10" t="inlineStr">
        <is>
          <t>ISE</t>
        </is>
      </c>
      <c r="K10">
        <f>MainTable[[#Headers],[Technologies]]</f>
        <v/>
      </c>
      <c r="L10">
        <f>C5</f>
        <v/>
      </c>
      <c r="M10" s="3" t="n">
        <v>10</v>
      </c>
    </row>
    <row r="11">
      <c r="C11" t="inlineStr">
        <is>
          <t>FMC</t>
        </is>
      </c>
      <c r="K11">
        <f>MainTable[[#Headers],[Technologies]]</f>
        <v/>
      </c>
      <c r="L11">
        <f>C6</f>
        <v/>
      </c>
      <c r="M11" s="3" t="n">
        <v>10</v>
      </c>
    </row>
    <row r="12">
      <c r="C12" t="inlineStr">
        <is>
          <t>Meraki</t>
        </is>
      </c>
      <c r="K12">
        <f>MainTable[[#Headers],[Technologies]]</f>
        <v/>
      </c>
      <c r="L12">
        <f>C7</f>
        <v/>
      </c>
      <c r="M12" s="3" t="n">
        <v>5</v>
      </c>
    </row>
    <row r="13">
      <c r="C13" t="inlineStr">
        <is>
          <t>Multiple</t>
        </is>
      </c>
      <c r="K13">
        <f>MainTable[[#Headers],[Technologies]]</f>
        <v/>
      </c>
      <c r="L13">
        <f>C8</f>
        <v/>
      </c>
      <c r="M13" s="3" t="n">
        <v>2</v>
      </c>
    </row>
    <row r="14">
      <c r="K14">
        <f>MainTable[[#Headers],[Technologies]]</f>
        <v/>
      </c>
      <c r="L14">
        <f>C9</f>
        <v/>
      </c>
      <c r="M14" s="3" t="n">
        <v>3</v>
      </c>
    </row>
    <row r="15">
      <c r="K15">
        <f>MainTable[[#Headers],[Technologies]]</f>
        <v/>
      </c>
      <c r="L15">
        <f>C10</f>
        <v/>
      </c>
      <c r="M15" s="3" t="n">
        <v>5</v>
      </c>
    </row>
    <row r="16">
      <c r="K16">
        <f>MainTable[[#Headers],[Technologies]]</f>
        <v/>
      </c>
      <c r="L16">
        <f>C11</f>
        <v/>
      </c>
      <c r="M16" s="3" t="n">
        <v>1</v>
      </c>
    </row>
    <row r="17">
      <c r="K17">
        <f>MainTable[[#Headers],[Technologies]]</f>
        <v/>
      </c>
      <c r="L17">
        <f>C13</f>
        <v/>
      </c>
      <c r="M17" s="3" t="n">
        <v>8</v>
      </c>
    </row>
    <row r="18">
      <c r="K18">
        <f>MainTable[[#Headers],[Technologies]]</f>
        <v/>
      </c>
      <c r="L18">
        <f>C12</f>
        <v/>
      </c>
      <c r="M18" s="3" t="n">
        <v>10</v>
      </c>
    </row>
    <row r="19">
      <c r="K19">
        <f>MainTable[[#Headers],[Existing Services]]</f>
        <v/>
      </c>
      <c r="L19">
        <f>D3</f>
        <v/>
      </c>
      <c r="M19" s="3" t="n">
        <v>5</v>
      </c>
    </row>
    <row r="20">
      <c r="K20">
        <f>MainTable[[#Headers],[Existing Services]]</f>
        <v/>
      </c>
      <c r="L20">
        <f>D4</f>
        <v/>
      </c>
      <c r="M20" s="3" t="n">
        <v>7</v>
      </c>
    </row>
    <row r="21">
      <c r="K21">
        <f>MainTable[[#Headers],[Existing Services]]</f>
        <v/>
      </c>
      <c r="L21">
        <f>D5</f>
        <v/>
      </c>
      <c r="M21" s="3" t="n">
        <v>5</v>
      </c>
    </row>
    <row r="22">
      <c r="K22">
        <f>MainTable[[#Headers],[Existing Services]]</f>
        <v/>
      </c>
      <c r="L22">
        <f>D6</f>
        <v/>
      </c>
      <c r="M22" s="3" t="n">
        <v>9</v>
      </c>
    </row>
    <row r="23">
      <c r="K23">
        <f>MainTable[[#Headers],[Existing Services]]</f>
        <v/>
      </c>
      <c r="L23">
        <f>D7</f>
        <v/>
      </c>
      <c r="M23" s="3" t="n">
        <v>2</v>
      </c>
    </row>
    <row r="24">
      <c r="K24">
        <f>MainTable[[#Headers],[Existing Services]]</f>
        <v/>
      </c>
      <c r="L24">
        <f>D8</f>
        <v/>
      </c>
      <c r="M24" s="3" t="n">
        <v>1</v>
      </c>
    </row>
    <row r="25">
      <c r="K25">
        <f>MainTable[[#Headers],[Existing Services]]</f>
        <v/>
      </c>
      <c r="L25">
        <f>D9</f>
        <v/>
      </c>
      <c r="M25" s="3" t="n">
        <v>0</v>
      </c>
    </row>
    <row r="26">
      <c r="K26">
        <f>MainTable[[#Headers],[Approximate Deal Size]]</f>
        <v/>
      </c>
      <c r="L26">
        <f>E3</f>
        <v/>
      </c>
      <c r="M26" s="3" t="n">
        <v>2</v>
      </c>
    </row>
    <row r="27">
      <c r="K27">
        <f>MainTable[[#Headers],[Approximate Deal Size]]</f>
        <v/>
      </c>
      <c r="L27">
        <f>E4</f>
        <v/>
      </c>
      <c r="M27" s="3" t="n">
        <v>5</v>
      </c>
    </row>
    <row r="28">
      <c r="K28">
        <f>MainTable[[#Headers],[Approximate Deal Size]]</f>
        <v/>
      </c>
      <c r="L28">
        <f>E5</f>
        <v/>
      </c>
      <c r="M28" s="3" t="n">
        <v>7</v>
      </c>
    </row>
    <row r="29">
      <c r="K29">
        <f>MainTable[[#Headers],[Approximate Deal Size]]</f>
        <v/>
      </c>
      <c r="L29">
        <f>E6</f>
        <v/>
      </c>
      <c r="M29" s="3" t="n">
        <v>10</v>
      </c>
    </row>
    <row r="30">
      <c r="K30">
        <f>MainTable[[#Headers],[Customer Network Access]]</f>
        <v/>
      </c>
      <c r="L30">
        <f>F3</f>
        <v/>
      </c>
      <c r="M30" s="3" t="n">
        <v>10</v>
      </c>
    </row>
    <row r="31">
      <c r="K31">
        <f>MainTable[[#Headers],[Customer Network Access]]</f>
        <v/>
      </c>
      <c r="L31">
        <f>F4</f>
        <v/>
      </c>
      <c r="M31" s="3" t="n">
        <v>0</v>
      </c>
    </row>
    <row r="32">
      <c r="K32">
        <f>MainTable[[#Headers],[Start Date]]</f>
        <v/>
      </c>
      <c r="L32">
        <f>G3</f>
        <v/>
      </c>
      <c r="M32" s="3" t="n">
        <v>2</v>
      </c>
    </row>
    <row r="33">
      <c r="K33">
        <f>MainTable[[#Headers],[Start Date]]</f>
        <v/>
      </c>
      <c r="L33">
        <f>G4</f>
        <v/>
      </c>
      <c r="M33" s="3" t="n">
        <v>4</v>
      </c>
    </row>
    <row r="34">
      <c r="K34">
        <f>MainTable[[#Headers],[Start Date]]</f>
        <v/>
      </c>
      <c r="L34">
        <f>G5</f>
        <v/>
      </c>
      <c r="M34" s="3" t="n">
        <v>6</v>
      </c>
    </row>
    <row r="35">
      <c r="K35">
        <f>MainTable[[#Headers],[Start Date]]</f>
        <v/>
      </c>
      <c r="L35">
        <f>G6</f>
        <v/>
      </c>
      <c r="M35" s="3" t="n">
        <v>8</v>
      </c>
    </row>
    <row r="36">
      <c r="K36">
        <f>MainTable[[#Headers],[Start Date]]</f>
        <v/>
      </c>
      <c r="L36">
        <f>G7</f>
        <v/>
      </c>
      <c r="M36" s="3" t="n">
        <v>10</v>
      </c>
    </row>
    <row r="37">
      <c r="K37">
        <f>MainTable[[#Headers],[Implementation Team]]</f>
        <v/>
      </c>
      <c r="L37">
        <f>H3</f>
        <v/>
      </c>
      <c r="M37" s="3" t="n">
        <v>8</v>
      </c>
    </row>
    <row r="38">
      <c r="K38">
        <f>MainTable[[#Headers],[Implementation Team]]</f>
        <v/>
      </c>
      <c r="L38">
        <f>H4</f>
        <v/>
      </c>
      <c r="M38" s="3" t="n">
        <v>4</v>
      </c>
    </row>
    <row r="39">
      <c r="K39">
        <f>MainTable[[#Headers],[Implementation Team]]</f>
        <v/>
      </c>
      <c r="L39">
        <f>H5</f>
        <v/>
      </c>
      <c r="M39" s="3" t="n">
        <v>2</v>
      </c>
    </row>
    <row r="40">
      <c r="K40">
        <f>MainTable[[#Headers],[Implementation Team]]</f>
        <v/>
      </c>
      <c r="L40">
        <f>H6</f>
        <v/>
      </c>
      <c r="M40" s="3" t="n">
        <v>1</v>
      </c>
    </row>
    <row r="41">
      <c r="K41">
        <f>MainTable[[#Headers],[Implementation Team]]</f>
        <v/>
      </c>
      <c r="L41">
        <f>H7</f>
        <v/>
      </c>
      <c r="M41" s="3" t="n">
        <v>5</v>
      </c>
    </row>
    <row r="42">
      <c r="K42">
        <f>MainTable[[#Headers],[Implementation Team]]</f>
        <v/>
      </c>
      <c r="L42">
        <f>H8</f>
        <v/>
      </c>
      <c r="M42" s="3" t="n">
        <v>0</v>
      </c>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Dhrumil Prajapati (dhprajap)</dc:creator>
  <dcterms:created xsi:type="dcterms:W3CDTF">2025-11-10T15:13:45Z</dcterms:created>
  <dcterms:modified xsi:type="dcterms:W3CDTF">2026-04-15T15:52:40Z</dcterms:modified>
  <cp:lastModifiedBy>Mike Brown (michabr4)</cp:lastModifiedBy>
</cp:coreProperties>
</file>