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michabr4/Desktop/Digitized Delivery - GES/"/>
    </mc:Choice>
  </mc:AlternateContent>
  <xr:revisionPtr revIDLastSave="0" documentId="13_ncr:1_{1DD79C78-ADC9-0A41-80E6-5F0CBE459854}" xr6:coauthVersionLast="47" xr6:coauthVersionMax="47" xr10:uidLastSave="{00000000-0000-0000-0000-000000000000}"/>
  <bookViews>
    <workbookView minimized="1" xWindow="0" yWindow="1300" windowWidth="37960" windowHeight="19960" xr2:uid="{00000000-000D-0000-FFFF-FFFF00000000}"/>
  </bookViews>
  <sheets>
    <sheet name="as-code score" sheetId="1" r:id="rId1"/>
    <sheet name="Pivot_Analytics" sheetId="2" r:id="rId2"/>
    <sheet name="Governance_Charts" sheetId="3" r:id="rId3"/>
    <sheet name="ref_values" sheetId="4" r:id="rId4"/>
    <sheet name="Governance_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 i="4" l="1"/>
  <c r="K42" i="4"/>
  <c r="L41" i="4"/>
  <c r="K41" i="4"/>
  <c r="L40" i="4"/>
  <c r="K40" i="4"/>
  <c r="L39" i="4"/>
  <c r="K39" i="4"/>
  <c r="L38" i="4"/>
  <c r="K38" i="4"/>
  <c r="L37" i="4"/>
  <c r="K37" i="4"/>
  <c r="L36" i="4"/>
  <c r="K36" i="4"/>
  <c r="L35" i="4"/>
  <c r="K35" i="4"/>
  <c r="L34" i="4"/>
  <c r="K34" i="4"/>
  <c r="L33" i="4"/>
  <c r="K33" i="4"/>
  <c r="L32" i="4"/>
  <c r="K32" i="4"/>
  <c r="L31" i="4"/>
  <c r="K31" i="4"/>
  <c r="L30" i="4"/>
  <c r="K30" i="4"/>
  <c r="L29" i="4"/>
  <c r="K29" i="4"/>
  <c r="L28" i="4"/>
  <c r="K28" i="4"/>
  <c r="L27" i="4"/>
  <c r="K27" i="4"/>
  <c r="L26" i="4"/>
  <c r="K26" i="4"/>
  <c r="L25" i="4"/>
  <c r="K25" i="4"/>
  <c r="L24" i="4"/>
  <c r="K24" i="4"/>
  <c r="L23" i="4"/>
  <c r="K23" i="4"/>
  <c r="L22" i="4"/>
  <c r="K22" i="4"/>
  <c r="L21" i="4"/>
  <c r="K21" i="4"/>
  <c r="L20" i="4"/>
  <c r="K20" i="4"/>
  <c r="L19" i="4"/>
  <c r="K19" i="4"/>
  <c r="L18" i="4"/>
  <c r="K18" i="4"/>
  <c r="L17" i="4"/>
  <c r="K17" i="4"/>
  <c r="L16" i="4"/>
  <c r="K16" i="4"/>
  <c r="L15" i="4"/>
  <c r="K15" i="4"/>
  <c r="L14" i="4"/>
  <c r="K14" i="4"/>
  <c r="L13" i="4"/>
  <c r="K13" i="4"/>
  <c r="L12" i="4"/>
  <c r="K12" i="4"/>
  <c r="L11" i="4"/>
  <c r="K11" i="4"/>
  <c r="L10" i="4"/>
  <c r="K10" i="4"/>
  <c r="L9" i="4"/>
  <c r="K9" i="4"/>
  <c r="L8" i="4"/>
  <c r="K8" i="4"/>
  <c r="L7" i="4"/>
  <c r="K7" i="4"/>
  <c r="L6" i="4"/>
  <c r="K6" i="4"/>
  <c r="L5" i="4"/>
  <c r="K5" i="4"/>
  <c r="L4" i="4"/>
  <c r="K4" i="4"/>
  <c r="L3" i="4"/>
  <c r="K3" i="4"/>
  <c r="J1079" i="1" a="1"/>
  <c r="J1079" i="1"/>
  <c r="J1078" i="1" a="1"/>
  <c r="J1078" i="1"/>
  <c r="J1077" i="1" a="1"/>
  <c r="J1077" i="1"/>
  <c r="J1076" i="1" a="1"/>
  <c r="J1076" i="1"/>
  <c r="J1075" i="1" a="1"/>
  <c r="J1075" i="1"/>
  <c r="J1074" i="1" a="1"/>
  <c r="J1074" i="1"/>
  <c r="J1073" i="1" a="1"/>
  <c r="J1073" i="1"/>
  <c r="J1072" i="1" a="1"/>
  <c r="J1072" i="1"/>
  <c r="J1071" i="1" a="1"/>
  <c r="J1071" i="1"/>
  <c r="J1070" i="1" a="1"/>
  <c r="J1070" i="1"/>
  <c r="J1069" i="1" a="1"/>
  <c r="J1069" i="1"/>
  <c r="J1068" i="1" a="1"/>
  <c r="J1068" i="1"/>
  <c r="J1067" i="1" a="1"/>
  <c r="J1067" i="1"/>
  <c r="J1066" i="1" a="1"/>
  <c r="J1066" i="1"/>
  <c r="J1065" i="1" a="1"/>
  <c r="J1065" i="1"/>
  <c r="J1064" i="1" a="1"/>
  <c r="J1064" i="1"/>
  <c r="J1063" i="1" a="1"/>
  <c r="J1063" i="1" s="1"/>
  <c r="J1062" i="1" a="1"/>
  <c r="J1062" i="1" s="1"/>
  <c r="J1061" i="1" a="1"/>
  <c r="J1061" i="1" s="1"/>
  <c r="J1060" i="1" a="1"/>
  <c r="J1060" i="1" s="1"/>
  <c r="J1059" i="1" a="1"/>
  <c r="J1059" i="1" s="1"/>
  <c r="J1058" i="1" a="1"/>
  <c r="J1058" i="1" s="1"/>
  <c r="J1057" i="1" a="1"/>
  <c r="J1057" i="1" s="1"/>
  <c r="J1056" i="1" a="1"/>
  <c r="J1056" i="1" s="1"/>
  <c r="J1055" i="1" a="1"/>
  <c r="J1055" i="1" s="1"/>
  <c r="J1054" i="1" a="1"/>
  <c r="J1054" i="1" s="1"/>
  <c r="J1053" i="1" a="1"/>
  <c r="J1053" i="1" s="1"/>
  <c r="J1052" i="1" a="1"/>
  <c r="J1052" i="1" s="1"/>
  <c r="J1051" i="1" a="1"/>
  <c r="J1051" i="1" s="1"/>
  <c r="J1050" i="1" a="1"/>
  <c r="J1050" i="1" s="1"/>
  <c r="J1049" i="1" a="1"/>
  <c r="J1049" i="1" s="1"/>
  <c r="J1048" i="1" a="1"/>
  <c r="J1048" i="1" s="1"/>
  <c r="J951" i="1" a="1"/>
  <c r="J951" i="1" s="1"/>
  <c r="J950" i="1" a="1"/>
  <c r="J950" i="1" s="1"/>
  <c r="J949" i="1" a="1"/>
  <c r="J949" i="1" s="1"/>
  <c r="J948" i="1" a="1"/>
  <c r="J948" i="1" s="1"/>
  <c r="J947" i="1" a="1"/>
  <c r="J947" i="1" s="1"/>
  <c r="J946" i="1" a="1"/>
  <c r="J946" i="1" s="1"/>
  <c r="J945" i="1" a="1"/>
  <c r="J945" i="1" s="1"/>
  <c r="J944" i="1" a="1"/>
  <c r="J944" i="1" s="1"/>
  <c r="J943" i="1" a="1"/>
  <c r="J943" i="1" s="1"/>
  <c r="J942" i="1" a="1"/>
  <c r="J942" i="1" s="1"/>
  <c r="J941" i="1" a="1"/>
  <c r="J941" i="1" s="1"/>
  <c r="J940" i="1" a="1"/>
  <c r="J940" i="1" s="1"/>
  <c r="J939" i="1" a="1"/>
  <c r="J939" i="1" s="1"/>
  <c r="J938" i="1" a="1"/>
  <c r="J938" i="1" s="1"/>
  <c r="J937" i="1" a="1"/>
  <c r="J937" i="1" s="1"/>
  <c r="J936" i="1" a="1"/>
  <c r="J936" i="1" s="1"/>
  <c r="J935" i="1" a="1"/>
  <c r="J935" i="1" s="1"/>
  <c r="J934" i="1" a="1"/>
  <c r="J934" i="1" s="1"/>
  <c r="J933" i="1" a="1"/>
  <c r="J933" i="1" s="1"/>
  <c r="J930" i="1" a="1"/>
  <c r="J930" i="1" s="1"/>
  <c r="J928" i="1" a="1"/>
  <c r="J928" i="1" s="1"/>
  <c r="J926" i="1" a="1"/>
  <c r="J926" i="1" s="1"/>
  <c r="J924" i="1" a="1"/>
  <c r="J924" i="1" s="1"/>
  <c r="J923" i="1" a="1"/>
  <c r="J923" i="1" s="1"/>
  <c r="J922" i="1" a="1"/>
  <c r="J922" i="1" s="1"/>
  <c r="J921" i="1" a="1"/>
  <c r="J921" i="1" s="1"/>
  <c r="J919" i="1" a="1"/>
  <c r="J919" i="1" s="1"/>
  <c r="J904" i="1" a="1"/>
  <c r="J904" i="1" s="1"/>
  <c r="J903" i="1" a="1"/>
  <c r="J903" i="1" s="1"/>
  <c r="J902" i="1" a="1"/>
  <c r="J902" i="1" s="1"/>
  <c r="J901" i="1" a="1"/>
  <c r="J901" i="1" s="1"/>
  <c r="J900" i="1" a="1"/>
  <c r="J900" i="1" s="1"/>
  <c r="J899" i="1" a="1"/>
  <c r="J899" i="1" s="1"/>
  <c r="J896" i="1" a="1"/>
  <c r="J896" i="1" s="1"/>
  <c r="J895" i="1" a="1"/>
  <c r="J895" i="1" s="1"/>
  <c r="J894" i="1" a="1"/>
  <c r="J894" i="1" s="1"/>
  <c r="J868" i="1" a="1"/>
  <c r="J868" i="1" s="1"/>
  <c r="J867" i="1" a="1"/>
  <c r="J867" i="1" s="1"/>
  <c r="J866" i="1" a="1"/>
  <c r="J866" i="1" s="1"/>
  <c r="J865" i="1" a="1"/>
  <c r="J865" i="1" s="1"/>
  <c r="J864" i="1" a="1"/>
  <c r="J864" i="1" s="1"/>
  <c r="J863" i="1" a="1"/>
  <c r="J863" i="1" s="1"/>
  <c r="J862" i="1" a="1"/>
  <c r="J862" i="1" s="1"/>
  <c r="J861" i="1" a="1"/>
  <c r="J861" i="1" s="1"/>
  <c r="J860" i="1" a="1"/>
  <c r="J860" i="1" s="1"/>
  <c r="J859" i="1" a="1"/>
  <c r="J859" i="1" s="1"/>
  <c r="J858" i="1" a="1"/>
  <c r="J858" i="1" s="1"/>
  <c r="J855" i="1" a="1"/>
  <c r="J855" i="1" s="1"/>
  <c r="J853" i="1" a="1"/>
  <c r="J853" i="1" s="1"/>
  <c r="J851" i="1" a="1"/>
  <c r="J851" i="1" s="1"/>
  <c r="J850" i="1" a="1"/>
  <c r="J850" i="1" s="1"/>
  <c r="J846" i="1" a="1"/>
  <c r="J846" i="1" s="1"/>
  <c r="J845" i="1" a="1"/>
  <c r="J845" i="1" s="1"/>
  <c r="J842" i="1" a="1"/>
  <c r="J842" i="1" s="1"/>
  <c r="J840" i="1" a="1"/>
  <c r="J840" i="1" s="1"/>
  <c r="J839" i="1" a="1"/>
  <c r="J839" i="1" s="1"/>
  <c r="J837" i="1" a="1"/>
  <c r="J837" i="1" s="1"/>
  <c r="J834" i="1" a="1"/>
  <c r="J834" i="1" s="1"/>
  <c r="J832" i="1" a="1"/>
  <c r="J832" i="1" s="1"/>
  <c r="J830" i="1" a="1"/>
  <c r="J830" i="1" s="1"/>
  <c r="J829" i="1" a="1"/>
  <c r="J829" i="1" s="1"/>
  <c r="J816" i="1" a="1"/>
  <c r="J816" i="1" s="1"/>
  <c r="J814" i="1" a="1"/>
  <c r="J814" i="1" s="1"/>
  <c r="J812" i="1" a="1"/>
  <c r="J812" i="1" s="1"/>
  <c r="J811" i="1" a="1"/>
  <c r="J811" i="1" s="1"/>
  <c r="J810" i="1" a="1"/>
  <c r="J810" i="1" s="1"/>
  <c r="J809" i="1" a="1"/>
  <c r="J809" i="1" s="1"/>
  <c r="J807" i="1" a="1"/>
  <c r="J807" i="1" s="1"/>
  <c r="J805" i="1" a="1"/>
  <c r="J805" i="1" s="1"/>
  <c r="J801" i="1" a="1"/>
  <c r="J801" i="1" s="1"/>
  <c r="J800" i="1" a="1"/>
  <c r="J800" i="1" s="1"/>
  <c r="J798" i="1" a="1"/>
  <c r="J798" i="1" s="1"/>
  <c r="J796" i="1" a="1"/>
  <c r="J796" i="1" s="1"/>
  <c r="J794" i="1" a="1"/>
  <c r="J794" i="1" s="1"/>
  <c r="J793" i="1" a="1"/>
  <c r="J793" i="1" s="1"/>
  <c r="J792" i="1" a="1"/>
  <c r="J792" i="1" s="1"/>
  <c r="J791" i="1" a="1"/>
  <c r="J791" i="1" s="1"/>
  <c r="J790" i="1" a="1"/>
  <c r="J790" i="1" s="1"/>
  <c r="J789" i="1" a="1"/>
  <c r="J789" i="1" s="1"/>
  <c r="J788" i="1" a="1"/>
  <c r="J788" i="1" s="1"/>
  <c r="J787" i="1" a="1"/>
  <c r="J787" i="1" s="1"/>
  <c r="J786" i="1" a="1"/>
  <c r="J786" i="1" s="1"/>
  <c r="J785" i="1" a="1"/>
  <c r="J785" i="1" s="1"/>
  <c r="J784" i="1" a="1"/>
  <c r="J784" i="1" s="1"/>
  <c r="J783" i="1" a="1"/>
  <c r="J783" i="1" s="1"/>
  <c r="J782" i="1" a="1"/>
  <c r="J782" i="1" s="1"/>
  <c r="J781" i="1" a="1"/>
  <c r="J781" i="1" s="1"/>
  <c r="J780" i="1" a="1"/>
  <c r="J780" i="1" s="1"/>
  <c r="J779" i="1" a="1"/>
  <c r="J779" i="1" s="1"/>
  <c r="J778" i="1" a="1"/>
  <c r="J778" i="1" s="1"/>
  <c r="J777" i="1" a="1"/>
  <c r="J777" i="1" s="1"/>
  <c r="J776" i="1" a="1"/>
  <c r="J776" i="1" s="1"/>
  <c r="J775" i="1" a="1"/>
  <c r="J775" i="1" s="1"/>
  <c r="J774" i="1" a="1"/>
  <c r="J774" i="1" s="1"/>
  <c r="J773" i="1" a="1"/>
  <c r="J773" i="1" s="1"/>
  <c r="J772" i="1" a="1"/>
  <c r="J772" i="1" s="1"/>
  <c r="J771" i="1" a="1"/>
  <c r="J771" i="1" s="1"/>
  <c r="J770" i="1" a="1"/>
  <c r="J770" i="1" s="1"/>
  <c r="J769" i="1" a="1"/>
  <c r="J769" i="1" s="1"/>
  <c r="J768" i="1" a="1"/>
  <c r="J768" i="1" s="1"/>
  <c r="J767" i="1" a="1"/>
  <c r="J767" i="1" s="1"/>
  <c r="J766" i="1" a="1"/>
  <c r="J766" i="1" s="1"/>
  <c r="J765" i="1" a="1"/>
  <c r="J765" i="1" s="1"/>
  <c r="J764" i="1" a="1"/>
  <c r="J764" i="1" s="1"/>
  <c r="J763" i="1" a="1"/>
  <c r="J763" i="1" s="1"/>
  <c r="J762" i="1" a="1"/>
  <c r="J762" i="1" s="1"/>
  <c r="J761" i="1" a="1"/>
  <c r="J761" i="1" s="1"/>
  <c r="J760" i="1" a="1"/>
  <c r="J760" i="1" s="1"/>
  <c r="J759" i="1" a="1"/>
  <c r="J759" i="1" s="1"/>
  <c r="J758" i="1" a="1"/>
  <c r="J758" i="1" s="1"/>
  <c r="J757" i="1" a="1"/>
  <c r="J757" i="1" s="1"/>
  <c r="J756" i="1" a="1"/>
  <c r="J756" i="1" s="1"/>
  <c r="J755" i="1" a="1"/>
  <c r="J755" i="1" s="1"/>
  <c r="J754" i="1" a="1"/>
  <c r="J754" i="1" s="1"/>
  <c r="J753" i="1" a="1"/>
  <c r="J753" i="1" s="1"/>
  <c r="J752" i="1" a="1"/>
  <c r="J752" i="1" s="1"/>
  <c r="J751" i="1" a="1"/>
  <c r="J751" i="1" s="1"/>
  <c r="J750" i="1" a="1"/>
  <c r="J750" i="1" s="1"/>
  <c r="J749" i="1" a="1"/>
  <c r="J749" i="1" s="1"/>
  <c r="J748" i="1" a="1"/>
  <c r="J748" i="1" s="1"/>
  <c r="J747" i="1" a="1"/>
  <c r="J747" i="1" s="1"/>
  <c r="J746" i="1" a="1"/>
  <c r="J746" i="1" s="1"/>
  <c r="J745" i="1" a="1"/>
  <c r="J745" i="1" s="1"/>
  <c r="J744" i="1" a="1"/>
  <c r="J744" i="1" s="1"/>
  <c r="J743" i="1" a="1"/>
  <c r="J743" i="1" s="1"/>
  <c r="J742" i="1" a="1"/>
  <c r="J742" i="1" s="1"/>
  <c r="J740" i="1" a="1"/>
  <c r="J740" i="1" s="1"/>
  <c r="J739" i="1" a="1"/>
  <c r="J739" i="1" s="1"/>
  <c r="J738" i="1" a="1"/>
  <c r="J738" i="1" s="1"/>
  <c r="J737" i="1" a="1"/>
  <c r="J737" i="1" s="1"/>
  <c r="J736" i="1" a="1"/>
  <c r="J736" i="1" s="1"/>
  <c r="J735" i="1" a="1"/>
  <c r="J735" i="1" s="1"/>
  <c r="J733" i="1" a="1"/>
  <c r="J733" i="1" s="1"/>
  <c r="J732" i="1" a="1"/>
  <c r="J732" i="1" s="1"/>
  <c r="J731" i="1" a="1"/>
  <c r="J731" i="1" s="1"/>
  <c r="J730" i="1" a="1"/>
  <c r="J730" i="1" s="1"/>
  <c r="J729" i="1" a="1"/>
  <c r="J729" i="1" s="1"/>
  <c r="J728" i="1" a="1"/>
  <c r="J728" i="1" s="1"/>
  <c r="J727" i="1" a="1"/>
  <c r="J727" i="1" s="1"/>
  <c r="J726" i="1" a="1"/>
  <c r="J726" i="1" s="1"/>
  <c r="J724" i="1" a="1"/>
  <c r="J724" i="1" s="1"/>
  <c r="J723" i="1" a="1"/>
  <c r="J723" i="1" s="1"/>
  <c r="J722" i="1" a="1"/>
  <c r="J722" i="1" s="1"/>
  <c r="J721" i="1" a="1"/>
  <c r="J721" i="1" s="1"/>
  <c r="J720" i="1" a="1"/>
  <c r="J720" i="1" s="1"/>
  <c r="J718" i="1" a="1"/>
  <c r="J718" i="1" s="1"/>
  <c r="J716" i="1" a="1"/>
  <c r="J716" i="1" s="1"/>
  <c r="J715" i="1" a="1"/>
  <c r="J715" i="1" s="1"/>
  <c r="J714" i="1" a="1"/>
  <c r="J714" i="1" s="1"/>
  <c r="J713" i="1" a="1"/>
  <c r="J713" i="1" s="1"/>
  <c r="J712" i="1" a="1"/>
  <c r="J712" i="1" s="1"/>
  <c r="J711" i="1" a="1"/>
  <c r="J711" i="1" s="1"/>
  <c r="J710" i="1" a="1"/>
  <c r="J710" i="1" s="1"/>
  <c r="J709" i="1" a="1"/>
  <c r="J709" i="1" s="1"/>
  <c r="J708" i="1" a="1"/>
  <c r="J708" i="1" s="1"/>
  <c r="J707" i="1" a="1"/>
  <c r="J707" i="1" s="1"/>
  <c r="J706" i="1" a="1"/>
  <c r="J706" i="1" s="1"/>
  <c r="J702" i="1" a="1"/>
  <c r="J702" i="1" s="1"/>
  <c r="J701" i="1" a="1"/>
  <c r="J701" i="1" s="1"/>
  <c r="J700" i="1" a="1"/>
  <c r="J700" i="1" s="1"/>
  <c r="J699" i="1" a="1"/>
  <c r="J699" i="1" s="1"/>
  <c r="J698" i="1" a="1"/>
  <c r="J698" i="1" s="1"/>
  <c r="J697" i="1" a="1"/>
  <c r="J697" i="1" s="1"/>
  <c r="J696" i="1" a="1"/>
  <c r="J696" i="1" s="1"/>
  <c r="J695" i="1" a="1"/>
  <c r="J695" i="1" s="1"/>
  <c r="J694" i="1" a="1"/>
  <c r="J694" i="1" s="1"/>
  <c r="J693" i="1" a="1"/>
  <c r="J693" i="1" s="1"/>
  <c r="J692" i="1" a="1"/>
  <c r="J692" i="1" s="1"/>
  <c r="J691" i="1" a="1"/>
  <c r="J691" i="1" s="1"/>
  <c r="J690" i="1" a="1"/>
  <c r="J690" i="1" s="1"/>
  <c r="J689" i="1" a="1"/>
  <c r="J689" i="1" s="1"/>
  <c r="J688" i="1" a="1"/>
  <c r="J688" i="1" s="1"/>
  <c r="J687" i="1" a="1"/>
  <c r="J687" i="1" s="1"/>
  <c r="J686" i="1" a="1"/>
  <c r="J686" i="1" s="1"/>
  <c r="J685" i="1" a="1"/>
  <c r="J685" i="1" s="1"/>
  <c r="J684" i="1" a="1"/>
  <c r="J684" i="1" s="1"/>
  <c r="J683" i="1" a="1"/>
  <c r="J683" i="1" s="1"/>
  <c r="J682" i="1" a="1"/>
  <c r="J682" i="1" s="1"/>
  <c r="J681" i="1" a="1"/>
  <c r="J681" i="1" s="1"/>
  <c r="J680" i="1" a="1"/>
  <c r="J680" i="1" s="1"/>
  <c r="J679" i="1" a="1"/>
  <c r="J679" i="1" s="1"/>
  <c r="J678" i="1" a="1"/>
  <c r="J678" i="1" s="1"/>
  <c r="J677" i="1" a="1"/>
  <c r="J677" i="1" s="1"/>
  <c r="J676" i="1" a="1"/>
  <c r="J676" i="1" s="1"/>
  <c r="J675" i="1" a="1"/>
  <c r="J675" i="1" s="1"/>
  <c r="J674" i="1" a="1"/>
  <c r="J674" i="1" s="1"/>
  <c r="J673" i="1" a="1"/>
  <c r="J673" i="1" s="1"/>
  <c r="J672" i="1" a="1"/>
  <c r="J672" i="1" s="1"/>
  <c r="J671" i="1" a="1"/>
  <c r="J671" i="1" s="1"/>
  <c r="J670" i="1" a="1"/>
  <c r="J670" i="1" s="1"/>
  <c r="J669" i="1" a="1"/>
  <c r="J669" i="1" s="1"/>
  <c r="J668" i="1" a="1"/>
  <c r="J668" i="1" s="1"/>
  <c r="J667" i="1" a="1"/>
  <c r="J667" i="1" s="1"/>
  <c r="J666" i="1" a="1"/>
  <c r="J666" i="1" s="1"/>
  <c r="J665" i="1" a="1"/>
  <c r="J665" i="1" s="1"/>
  <c r="J663" i="1" a="1"/>
  <c r="J663" i="1" s="1"/>
  <c r="J662" i="1" a="1"/>
  <c r="J662" i="1" s="1"/>
  <c r="J661" i="1" a="1"/>
  <c r="J661" i="1" s="1"/>
  <c r="J660" i="1" a="1"/>
  <c r="J660" i="1" s="1"/>
  <c r="J659" i="1" a="1"/>
  <c r="J659" i="1" s="1"/>
  <c r="J658" i="1" a="1"/>
  <c r="J658" i="1" s="1"/>
  <c r="J657" i="1" a="1"/>
  <c r="J657" i="1" s="1"/>
  <c r="J656" i="1" a="1"/>
  <c r="J656" i="1" s="1"/>
  <c r="J655" i="1" a="1"/>
  <c r="J655" i="1" s="1"/>
  <c r="J654" i="1" a="1"/>
  <c r="J654" i="1" s="1"/>
  <c r="J650" i="1" a="1"/>
  <c r="J650" i="1" s="1"/>
  <c r="J649" i="1" a="1"/>
  <c r="J649" i="1" s="1"/>
  <c r="J648" i="1" a="1"/>
  <c r="J648" i="1" s="1"/>
  <c r="J647" i="1" a="1"/>
  <c r="J647" i="1" s="1"/>
  <c r="J646" i="1" a="1"/>
  <c r="J646" i="1" s="1"/>
  <c r="J645" i="1" a="1"/>
  <c r="J645" i="1" s="1"/>
  <c r="J644" i="1" a="1"/>
  <c r="J644" i="1" s="1"/>
  <c r="J643" i="1" a="1"/>
  <c r="J643" i="1" s="1"/>
  <c r="J642" i="1" a="1"/>
  <c r="J642" i="1" s="1"/>
  <c r="J641" i="1" a="1"/>
  <c r="J641" i="1" s="1"/>
  <c r="J640" i="1" a="1"/>
  <c r="J640" i="1" s="1"/>
  <c r="J639" i="1" a="1"/>
  <c r="J639" i="1" s="1"/>
  <c r="J638" i="1" a="1"/>
  <c r="J638" i="1" s="1"/>
  <c r="J637" i="1" a="1"/>
  <c r="J637" i="1" s="1"/>
  <c r="J636" i="1" a="1"/>
  <c r="J636" i="1" s="1"/>
  <c r="J635" i="1" a="1"/>
  <c r="J635" i="1" s="1"/>
  <c r="J634" i="1" a="1"/>
  <c r="J634" i="1" s="1"/>
  <c r="J633" i="1" a="1"/>
  <c r="J633" i="1" s="1"/>
  <c r="J632" i="1" a="1"/>
  <c r="J632" i="1" s="1"/>
  <c r="J631" i="1" a="1"/>
  <c r="J631" i="1" s="1"/>
  <c r="J630" i="1" a="1"/>
  <c r="J630" i="1" s="1"/>
  <c r="J629" i="1" a="1"/>
  <c r="J629" i="1" s="1"/>
  <c r="J628" i="1" a="1"/>
  <c r="J628" i="1" s="1"/>
  <c r="J627" i="1" a="1"/>
  <c r="J627" i="1" s="1"/>
  <c r="J626" i="1" a="1"/>
  <c r="J626" i="1" s="1"/>
  <c r="J625" i="1" a="1"/>
  <c r="J625" i="1" s="1"/>
  <c r="J624" i="1" a="1"/>
  <c r="J624" i="1" s="1"/>
  <c r="J623" i="1" a="1"/>
  <c r="J623" i="1" s="1"/>
  <c r="J622" i="1" a="1"/>
  <c r="J622" i="1" s="1"/>
  <c r="J621" i="1" a="1"/>
  <c r="J621" i="1" s="1"/>
  <c r="J620" i="1" a="1"/>
  <c r="J620" i="1" s="1"/>
  <c r="J619" i="1" a="1"/>
  <c r="J619" i="1" s="1"/>
  <c r="J618" i="1" a="1"/>
  <c r="J618" i="1" s="1"/>
  <c r="J617" i="1" a="1"/>
  <c r="J617" i="1" s="1"/>
  <c r="J616" i="1" a="1"/>
  <c r="J616" i="1" s="1"/>
  <c r="J615" i="1" a="1"/>
  <c r="J615" i="1" s="1"/>
  <c r="J614" i="1" a="1"/>
  <c r="J614" i="1" s="1"/>
  <c r="J613" i="1" a="1"/>
  <c r="J613" i="1" s="1"/>
  <c r="J612" i="1" a="1"/>
  <c r="J612" i="1" s="1"/>
  <c r="J611" i="1" a="1"/>
  <c r="J611" i="1" s="1"/>
  <c r="J610" i="1" a="1"/>
  <c r="J610" i="1" s="1"/>
  <c r="J609" i="1" a="1"/>
  <c r="J609" i="1" s="1"/>
  <c r="J608" i="1" a="1"/>
  <c r="J608" i="1" s="1"/>
  <c r="J607" i="1" a="1"/>
  <c r="J607" i="1" s="1"/>
  <c r="J606" i="1" a="1"/>
  <c r="J606" i="1" s="1"/>
  <c r="J605" i="1" a="1"/>
  <c r="J605" i="1" s="1"/>
  <c r="J604" i="1" a="1"/>
  <c r="J604" i="1" s="1"/>
  <c r="J603" i="1" a="1"/>
  <c r="J603" i="1" s="1"/>
  <c r="J602" i="1" a="1"/>
  <c r="J602" i="1" s="1"/>
  <c r="J601" i="1" a="1"/>
  <c r="J601" i="1" s="1"/>
  <c r="J600" i="1" a="1"/>
  <c r="J600" i="1" s="1"/>
  <c r="J599" i="1" a="1"/>
  <c r="J599" i="1" s="1"/>
  <c r="J598" i="1" a="1"/>
  <c r="J598" i="1" s="1"/>
  <c r="J597" i="1" a="1"/>
  <c r="J597" i="1" s="1"/>
  <c r="J596" i="1" a="1"/>
  <c r="J596" i="1" s="1"/>
  <c r="J594" i="1" a="1"/>
  <c r="J594" i="1" s="1"/>
  <c r="J593" i="1" a="1"/>
  <c r="J593" i="1" s="1"/>
  <c r="J592" i="1" a="1"/>
  <c r="J592" i="1" s="1"/>
  <c r="J591" i="1" a="1"/>
  <c r="J591" i="1" s="1"/>
  <c r="J590" i="1" a="1"/>
  <c r="J590" i="1" s="1"/>
  <c r="J589" i="1" a="1"/>
  <c r="J589" i="1" s="1"/>
  <c r="J588" i="1" a="1"/>
  <c r="J588" i="1" s="1"/>
  <c r="J587" i="1" a="1"/>
  <c r="J587" i="1" s="1"/>
  <c r="J586" i="1" a="1"/>
  <c r="J586" i="1" s="1"/>
  <c r="J585" i="1" a="1"/>
  <c r="J585" i="1" s="1"/>
  <c r="J584" i="1" a="1"/>
  <c r="J584" i="1" s="1"/>
  <c r="J583" i="1" a="1"/>
  <c r="J583" i="1" s="1"/>
  <c r="J582" i="1" a="1"/>
  <c r="J582" i="1" s="1"/>
  <c r="J581" i="1" a="1"/>
  <c r="J581" i="1" s="1"/>
  <c r="J580" i="1" a="1"/>
  <c r="J580" i="1" s="1"/>
  <c r="J579" i="1" a="1"/>
  <c r="J579" i="1" s="1"/>
  <c r="J578" i="1" a="1"/>
  <c r="J578" i="1" s="1"/>
  <c r="J577" i="1" a="1"/>
  <c r="J577" i="1" s="1"/>
  <c r="J575" i="1" a="1"/>
  <c r="J575" i="1" s="1"/>
  <c r="J574" i="1" a="1"/>
  <c r="J574" i="1" s="1"/>
  <c r="J573" i="1" a="1"/>
  <c r="J573" i="1" s="1"/>
  <c r="J572" i="1" a="1"/>
  <c r="J572" i="1" s="1"/>
  <c r="J571" i="1" a="1"/>
  <c r="J571" i="1" s="1"/>
  <c r="J570" i="1" a="1"/>
  <c r="J570" i="1" s="1"/>
  <c r="J569" i="1" a="1"/>
  <c r="J569" i="1" s="1"/>
  <c r="J568" i="1" a="1"/>
  <c r="J568" i="1" s="1"/>
  <c r="J567" i="1" a="1"/>
  <c r="J567" i="1" s="1"/>
  <c r="J566" i="1" a="1"/>
  <c r="J566" i="1" s="1"/>
  <c r="J565" i="1" a="1"/>
  <c r="J565" i="1" s="1"/>
  <c r="J564" i="1" a="1"/>
  <c r="J564" i="1" s="1"/>
  <c r="J563" i="1" a="1"/>
  <c r="J563" i="1" s="1"/>
  <c r="J562" i="1" a="1"/>
  <c r="J562" i="1" s="1"/>
  <c r="J561" i="1" a="1"/>
  <c r="J561" i="1" s="1"/>
  <c r="J560" i="1" a="1"/>
  <c r="J560" i="1" s="1"/>
  <c r="J559" i="1" a="1"/>
  <c r="J559" i="1" s="1"/>
  <c r="J558" i="1" a="1"/>
  <c r="J558" i="1" s="1"/>
  <c r="J557" i="1" a="1"/>
  <c r="J557" i="1" s="1"/>
  <c r="J556" i="1" a="1"/>
  <c r="J556" i="1" s="1"/>
  <c r="J555" i="1" a="1"/>
  <c r="J555" i="1" s="1"/>
  <c r="J554" i="1" a="1"/>
  <c r="J554" i="1" s="1"/>
  <c r="J553" i="1" a="1"/>
  <c r="J553" i="1" s="1"/>
  <c r="J552" i="1" a="1"/>
  <c r="J552" i="1" s="1"/>
  <c r="J551" i="1" a="1"/>
  <c r="J551" i="1" s="1"/>
  <c r="J545" i="1" a="1"/>
  <c r="J545" i="1" s="1"/>
  <c r="J544" i="1" a="1"/>
  <c r="J544" i="1" s="1"/>
  <c r="J543" i="1" a="1"/>
  <c r="J543" i="1" s="1"/>
  <c r="J542" i="1" a="1"/>
  <c r="J542" i="1" s="1"/>
  <c r="J541" i="1" a="1"/>
  <c r="J541" i="1" s="1"/>
  <c r="J540" i="1" a="1"/>
  <c r="J540" i="1" s="1"/>
  <c r="J539" i="1" a="1"/>
  <c r="J539" i="1" s="1"/>
  <c r="J538" i="1" a="1"/>
  <c r="J538" i="1" s="1"/>
  <c r="J537" i="1" a="1"/>
  <c r="J537" i="1" s="1"/>
  <c r="J536" i="1" a="1"/>
  <c r="J536" i="1" s="1"/>
  <c r="J535" i="1" a="1"/>
  <c r="J535" i="1" s="1"/>
  <c r="J534" i="1" a="1"/>
  <c r="J534" i="1" s="1"/>
  <c r="J533" i="1" a="1"/>
  <c r="J533" i="1" s="1"/>
  <c r="J532" i="1" a="1"/>
  <c r="J532" i="1" s="1"/>
  <c r="J531" i="1" a="1"/>
  <c r="J531" i="1" s="1"/>
  <c r="J530" i="1" a="1"/>
  <c r="J530" i="1" s="1"/>
  <c r="J529" i="1" a="1"/>
  <c r="J529" i="1" s="1"/>
  <c r="J528" i="1" a="1"/>
  <c r="J528" i="1" s="1"/>
  <c r="J527" i="1" a="1"/>
  <c r="J527" i="1" s="1"/>
  <c r="J526" i="1" a="1"/>
  <c r="J526" i="1" s="1"/>
  <c r="J522" i="1" a="1"/>
  <c r="J522" i="1" s="1"/>
  <c r="J521" i="1" a="1"/>
  <c r="J521" i="1" s="1"/>
  <c r="J520" i="1" a="1"/>
  <c r="J520" i="1" s="1"/>
  <c r="J519" i="1" a="1"/>
  <c r="J519" i="1" s="1"/>
  <c r="J518" i="1" a="1"/>
  <c r="J518" i="1" s="1"/>
  <c r="J517" i="1" a="1"/>
  <c r="J517" i="1" s="1"/>
  <c r="J516" i="1" a="1"/>
  <c r="J516" i="1" s="1"/>
  <c r="J515" i="1" a="1"/>
  <c r="J515" i="1" s="1"/>
  <c r="J514" i="1" a="1"/>
  <c r="J514" i="1" s="1"/>
  <c r="J513" i="1" a="1"/>
  <c r="J513" i="1" s="1"/>
  <c r="J510" i="1" a="1"/>
  <c r="J510" i="1" s="1"/>
  <c r="J508" i="1" a="1"/>
  <c r="J508" i="1" s="1"/>
  <c r="J507" i="1" a="1"/>
  <c r="J507" i="1" s="1"/>
  <c r="J506" i="1" a="1"/>
  <c r="J506" i="1" s="1"/>
  <c r="J505" i="1" a="1"/>
  <c r="J505" i="1" s="1"/>
  <c r="J504" i="1" a="1"/>
  <c r="J504" i="1" s="1"/>
  <c r="J503" i="1" a="1"/>
  <c r="J503" i="1" s="1"/>
  <c r="J502" i="1" a="1"/>
  <c r="J502" i="1" s="1"/>
  <c r="J500" i="1" a="1"/>
  <c r="J500" i="1" s="1"/>
  <c r="J499" i="1" a="1"/>
  <c r="J499" i="1" s="1"/>
  <c r="J498" i="1" a="1"/>
  <c r="J498" i="1" s="1"/>
  <c r="J497" i="1" a="1"/>
  <c r="J497" i="1" s="1"/>
  <c r="J496" i="1" a="1"/>
  <c r="J496" i="1" s="1"/>
  <c r="J495" i="1" a="1"/>
  <c r="J495" i="1" s="1"/>
  <c r="J493" i="1" a="1"/>
  <c r="J493" i="1" s="1"/>
  <c r="J491" i="1" a="1"/>
  <c r="J491" i="1" s="1"/>
  <c r="J490" i="1" a="1"/>
  <c r="J490" i="1" s="1"/>
  <c r="J489" i="1" a="1"/>
  <c r="J489" i="1" s="1"/>
  <c r="J488" i="1" a="1"/>
  <c r="J488" i="1" s="1"/>
  <c r="J487" i="1" a="1"/>
  <c r="J487" i="1" s="1"/>
  <c r="J486" i="1" a="1"/>
  <c r="J486" i="1" s="1"/>
  <c r="J485" i="1" a="1"/>
  <c r="J485" i="1" s="1"/>
  <c r="J484" i="1" a="1"/>
  <c r="J484" i="1" s="1"/>
  <c r="J483" i="1" a="1"/>
  <c r="J483" i="1" s="1"/>
  <c r="J482" i="1" a="1"/>
  <c r="J482" i="1" s="1"/>
  <c r="J481" i="1" a="1"/>
  <c r="J481" i="1" s="1"/>
  <c r="J480" i="1" a="1"/>
  <c r="J480" i="1" s="1"/>
  <c r="J479" i="1" a="1"/>
  <c r="J479" i="1" s="1"/>
  <c r="J478" i="1" a="1"/>
  <c r="J478" i="1" s="1"/>
  <c r="J477" i="1" a="1"/>
  <c r="J477" i="1" s="1"/>
  <c r="J476" i="1" a="1"/>
  <c r="J476" i="1" s="1"/>
  <c r="J475" i="1" a="1"/>
  <c r="J475" i="1" s="1"/>
  <c r="J474" i="1" a="1"/>
  <c r="J474" i="1" s="1"/>
  <c r="J473" i="1" a="1"/>
  <c r="J473" i="1" s="1"/>
  <c r="J472" i="1" a="1"/>
  <c r="J472" i="1" s="1"/>
  <c r="J471" i="1" a="1"/>
  <c r="J471" i="1" s="1"/>
  <c r="J470" i="1" a="1"/>
  <c r="J470" i="1" s="1"/>
  <c r="J469" i="1" a="1"/>
  <c r="J469" i="1" s="1"/>
  <c r="J468" i="1" a="1"/>
  <c r="J468" i="1" s="1"/>
  <c r="J467" i="1" a="1"/>
  <c r="J467" i="1" s="1"/>
  <c r="J466" i="1" a="1"/>
  <c r="J466" i="1" s="1"/>
  <c r="J465" i="1" a="1"/>
  <c r="J465" i="1" s="1"/>
  <c r="J464" i="1" a="1"/>
  <c r="J464" i="1" s="1"/>
  <c r="J463" i="1" a="1"/>
  <c r="J463" i="1" s="1"/>
  <c r="J462" i="1" a="1"/>
  <c r="J462" i="1" s="1"/>
  <c r="J461" i="1" a="1"/>
  <c r="J461" i="1" s="1"/>
  <c r="J460" i="1" a="1"/>
  <c r="J460" i="1" s="1"/>
  <c r="J459" i="1" a="1"/>
  <c r="J459" i="1" s="1"/>
  <c r="J458" i="1" a="1"/>
  <c r="J458" i="1" s="1"/>
  <c r="J457" i="1" a="1"/>
  <c r="J457" i="1" s="1"/>
  <c r="J456" i="1" a="1"/>
  <c r="J456" i="1" s="1"/>
  <c r="J455" i="1" a="1"/>
  <c r="J455" i="1" s="1"/>
  <c r="J454" i="1" a="1"/>
  <c r="J454" i="1" s="1"/>
  <c r="J453" i="1" a="1"/>
  <c r="J453" i="1" s="1"/>
  <c r="J452" i="1" a="1"/>
  <c r="J452" i="1" s="1"/>
  <c r="J451" i="1" a="1"/>
  <c r="J451" i="1" s="1"/>
  <c r="J450" i="1" a="1"/>
  <c r="J450" i="1" s="1"/>
  <c r="J449" i="1" a="1"/>
  <c r="J449" i="1" s="1"/>
  <c r="J448" i="1" a="1"/>
  <c r="J448" i="1" s="1"/>
  <c r="J447" i="1" a="1"/>
  <c r="J447" i="1" s="1"/>
  <c r="J446" i="1" a="1"/>
  <c r="J446" i="1" s="1"/>
  <c r="J445" i="1" a="1"/>
  <c r="J445" i="1" s="1"/>
  <c r="J444" i="1" a="1"/>
  <c r="J444" i="1" s="1"/>
  <c r="J443" i="1" a="1"/>
  <c r="J443" i="1" s="1"/>
  <c r="J442" i="1" a="1"/>
  <c r="J442" i="1" s="1"/>
  <c r="J441" i="1" a="1"/>
  <c r="J441" i="1" s="1"/>
  <c r="J439" i="1" a="1"/>
  <c r="J439" i="1" s="1"/>
  <c r="J438" i="1" a="1"/>
  <c r="J438" i="1" s="1"/>
  <c r="J437" i="1" a="1"/>
  <c r="J437" i="1" s="1"/>
  <c r="J436" i="1" a="1"/>
  <c r="J436" i="1" s="1"/>
  <c r="J435" i="1" a="1"/>
  <c r="J435" i="1" s="1"/>
  <c r="J434" i="1" a="1"/>
  <c r="J434" i="1" s="1"/>
  <c r="J433" i="1" a="1"/>
  <c r="J433" i="1" s="1"/>
  <c r="J432" i="1" a="1"/>
  <c r="J432" i="1" s="1"/>
  <c r="J431" i="1" a="1"/>
  <c r="J431" i="1" s="1"/>
  <c r="J430" i="1" a="1"/>
  <c r="J430" i="1" s="1"/>
  <c r="J429" i="1" a="1"/>
  <c r="J429" i="1" s="1"/>
  <c r="J428" i="1" a="1"/>
  <c r="J428" i="1" s="1"/>
  <c r="J427" i="1" a="1"/>
  <c r="J427" i="1" s="1"/>
  <c r="J426" i="1" a="1"/>
  <c r="J426" i="1" s="1"/>
  <c r="J425" i="1" a="1"/>
  <c r="J425" i="1" s="1"/>
  <c r="J424" i="1" a="1"/>
  <c r="J424" i="1" s="1"/>
  <c r="J423" i="1" a="1"/>
  <c r="J423" i="1" s="1"/>
  <c r="J422" i="1" a="1"/>
  <c r="J422" i="1" s="1"/>
  <c r="J421" i="1" a="1"/>
  <c r="J421" i="1" s="1"/>
  <c r="J420" i="1" a="1"/>
  <c r="J420" i="1" s="1"/>
  <c r="J419" i="1" a="1"/>
  <c r="J419" i="1" s="1"/>
  <c r="J418" i="1" a="1"/>
  <c r="J418" i="1" s="1"/>
  <c r="J417" i="1" a="1"/>
  <c r="J417" i="1" s="1"/>
  <c r="J416" i="1" a="1"/>
  <c r="J416" i="1" s="1"/>
  <c r="J415" i="1" a="1"/>
  <c r="J415" i="1" s="1"/>
  <c r="J414" i="1" a="1"/>
  <c r="J414" i="1" s="1"/>
  <c r="J413" i="1" a="1"/>
  <c r="J413" i="1" s="1"/>
  <c r="J412" i="1" a="1"/>
  <c r="J412" i="1" s="1"/>
  <c r="J411" i="1" a="1"/>
  <c r="J411" i="1" s="1"/>
  <c r="J410" i="1" a="1"/>
  <c r="J410" i="1" s="1"/>
  <c r="J409" i="1" a="1"/>
  <c r="J409" i="1" s="1"/>
  <c r="J408" i="1" a="1"/>
  <c r="J408" i="1" s="1"/>
  <c r="J407" i="1" a="1"/>
  <c r="J407" i="1" s="1"/>
  <c r="J406" i="1" a="1"/>
  <c r="J406" i="1" s="1"/>
  <c r="J405" i="1" a="1"/>
  <c r="J405" i="1" s="1"/>
  <c r="J404" i="1" a="1"/>
  <c r="J404" i="1" s="1"/>
  <c r="J403" i="1" a="1"/>
  <c r="J403" i="1" s="1"/>
  <c r="J402" i="1" a="1"/>
  <c r="J402" i="1" s="1"/>
  <c r="J401" i="1" a="1"/>
  <c r="J401" i="1" s="1"/>
  <c r="J400" i="1" a="1"/>
  <c r="J400" i="1" s="1"/>
  <c r="J399" i="1" a="1"/>
  <c r="J399" i="1" s="1"/>
  <c r="J398" i="1" a="1"/>
  <c r="J398" i="1" s="1"/>
  <c r="J397" i="1" a="1"/>
  <c r="J397" i="1" s="1"/>
  <c r="J396" i="1" a="1"/>
  <c r="J396" i="1" s="1"/>
  <c r="J395" i="1" a="1"/>
  <c r="J395" i="1" s="1"/>
  <c r="J394" i="1" a="1"/>
  <c r="J394" i="1" s="1"/>
  <c r="J393" i="1" a="1"/>
  <c r="J393" i="1" s="1"/>
  <c r="J392" i="1" a="1"/>
  <c r="J392" i="1" s="1"/>
  <c r="J391" i="1" a="1"/>
  <c r="J391" i="1" s="1"/>
  <c r="J390" i="1" a="1"/>
  <c r="J390" i="1" s="1"/>
  <c r="J389" i="1" a="1"/>
  <c r="J389" i="1" s="1"/>
  <c r="J388" i="1" a="1"/>
  <c r="J388" i="1" s="1"/>
  <c r="J387" i="1" a="1"/>
  <c r="J387" i="1" s="1"/>
  <c r="J386" i="1" a="1"/>
  <c r="J386" i="1" s="1"/>
  <c r="J385" i="1" a="1"/>
  <c r="J385" i="1" s="1"/>
  <c r="J384" i="1" a="1"/>
  <c r="J384" i="1" s="1"/>
  <c r="J383" i="1" a="1"/>
  <c r="J383" i="1" s="1"/>
  <c r="J382" i="1" a="1"/>
  <c r="J382" i="1" s="1"/>
  <c r="J381" i="1" a="1"/>
  <c r="J381" i="1" s="1"/>
  <c r="J380" i="1" a="1"/>
  <c r="J380" i="1" s="1"/>
  <c r="J379" i="1" a="1"/>
  <c r="J379" i="1" s="1"/>
  <c r="J378" i="1" a="1"/>
  <c r="J378" i="1" s="1"/>
  <c r="J377" i="1" a="1"/>
  <c r="J377" i="1" s="1"/>
  <c r="J376" i="1" a="1"/>
  <c r="J376" i="1" s="1"/>
  <c r="J375" i="1" a="1"/>
  <c r="J375" i="1" s="1"/>
  <c r="J374" i="1" a="1"/>
  <c r="J374" i="1" s="1"/>
  <c r="J373" i="1" a="1"/>
  <c r="J373" i="1" s="1"/>
  <c r="J372" i="1" a="1"/>
  <c r="J372" i="1" s="1"/>
  <c r="J371" i="1" a="1"/>
  <c r="J371" i="1" s="1"/>
  <c r="J370" i="1" a="1"/>
  <c r="J370" i="1" s="1"/>
  <c r="J369" i="1" a="1"/>
  <c r="J369" i="1" s="1"/>
  <c r="J368" i="1" a="1"/>
  <c r="J368" i="1" s="1"/>
  <c r="J367" i="1" a="1"/>
  <c r="J367" i="1" s="1"/>
  <c r="J366" i="1" a="1"/>
  <c r="J366" i="1" s="1"/>
  <c r="J365" i="1" a="1"/>
  <c r="J365" i="1" s="1"/>
  <c r="J364" i="1" a="1"/>
  <c r="J364" i="1" s="1"/>
  <c r="J363" i="1" a="1"/>
  <c r="J363" i="1" s="1"/>
  <c r="J362" i="1" a="1"/>
  <c r="J362" i="1" s="1"/>
  <c r="J361" i="1" a="1"/>
  <c r="J361" i="1" s="1"/>
  <c r="J360" i="1" a="1"/>
  <c r="J360" i="1" s="1"/>
  <c r="J359" i="1" a="1"/>
  <c r="J359" i="1" s="1"/>
  <c r="J358" i="1" a="1"/>
  <c r="J358" i="1" s="1"/>
  <c r="J357" i="1" a="1"/>
  <c r="J357" i="1" s="1"/>
  <c r="J356" i="1" a="1"/>
  <c r="J356" i="1" s="1"/>
  <c r="J355" i="1" a="1"/>
  <c r="J355" i="1" s="1"/>
  <c r="J354" i="1" a="1"/>
  <c r="J354" i="1" s="1"/>
  <c r="J353" i="1" a="1"/>
  <c r="J353" i="1" s="1"/>
  <c r="J352" i="1" a="1"/>
  <c r="J352" i="1" s="1"/>
  <c r="J351" i="1" a="1"/>
  <c r="J351" i="1" s="1"/>
  <c r="J347" i="1" a="1"/>
  <c r="J347" i="1" s="1"/>
  <c r="J346" i="1" a="1"/>
  <c r="J346" i="1" s="1"/>
  <c r="J345" i="1" a="1"/>
  <c r="J345" i="1" s="1"/>
  <c r="J344" i="1" a="1"/>
  <c r="J344" i="1" s="1"/>
  <c r="J343" i="1" a="1"/>
  <c r="J343" i="1" s="1"/>
  <c r="J342" i="1" a="1"/>
  <c r="J342" i="1" s="1"/>
  <c r="J341" i="1" a="1"/>
  <c r="J341" i="1" s="1"/>
  <c r="J340" i="1" a="1"/>
  <c r="J340" i="1" s="1"/>
  <c r="J339" i="1" a="1"/>
  <c r="J339" i="1" s="1"/>
  <c r="J338" i="1" a="1"/>
  <c r="J338" i="1" s="1"/>
  <c r="J337" i="1" a="1"/>
  <c r="J337" i="1" s="1"/>
  <c r="J336" i="1" a="1"/>
  <c r="J336" i="1" s="1"/>
  <c r="J335" i="1" a="1"/>
  <c r="J335" i="1" s="1"/>
  <c r="J334" i="1" a="1"/>
  <c r="J334" i="1" s="1"/>
  <c r="J333" i="1" a="1"/>
  <c r="J333" i="1" s="1"/>
  <c r="J332" i="1" a="1"/>
  <c r="J332" i="1" s="1"/>
  <c r="J331" i="1" a="1"/>
  <c r="J331" i="1" s="1"/>
  <c r="J330" i="1" a="1"/>
  <c r="J330" i="1" s="1"/>
  <c r="J329" i="1" a="1"/>
  <c r="J329" i="1" s="1"/>
  <c r="J328" i="1" a="1"/>
  <c r="J328" i="1" s="1"/>
  <c r="J327" i="1" a="1"/>
  <c r="J327" i="1" s="1"/>
  <c r="J326" i="1" a="1"/>
  <c r="J326" i="1" s="1"/>
  <c r="J325" i="1" a="1"/>
  <c r="J325" i="1" s="1"/>
  <c r="J324" i="1" a="1"/>
  <c r="J324" i="1" s="1"/>
  <c r="J323" i="1" a="1"/>
  <c r="J323" i="1" s="1"/>
  <c r="J322" i="1" a="1"/>
  <c r="J322" i="1" s="1"/>
  <c r="J321" i="1" a="1"/>
  <c r="J321" i="1" s="1"/>
  <c r="J320" i="1" a="1"/>
  <c r="J320" i="1" s="1"/>
  <c r="J319" i="1" a="1"/>
  <c r="J319" i="1" s="1"/>
  <c r="J318" i="1" a="1"/>
  <c r="J318" i="1" s="1"/>
  <c r="J317" i="1" a="1"/>
  <c r="J317" i="1" s="1"/>
  <c r="J316" i="1" a="1"/>
  <c r="J316" i="1" s="1"/>
  <c r="J315" i="1" a="1"/>
  <c r="J315" i="1" s="1"/>
  <c r="J314" i="1" a="1"/>
  <c r="J314" i="1" s="1"/>
  <c r="J313" i="1" a="1"/>
  <c r="J313" i="1" s="1"/>
  <c r="J312" i="1" a="1"/>
  <c r="J312" i="1" s="1"/>
  <c r="J311" i="1" a="1"/>
  <c r="J311" i="1" s="1"/>
  <c r="J310" i="1" a="1"/>
  <c r="J310" i="1" s="1"/>
  <c r="J309" i="1" a="1"/>
  <c r="J309" i="1" s="1"/>
  <c r="J308" i="1" a="1"/>
  <c r="J308" i="1" s="1"/>
  <c r="J307" i="1" a="1"/>
  <c r="J307" i="1" s="1"/>
  <c r="J306" i="1" a="1"/>
  <c r="J306" i="1" s="1"/>
  <c r="J305" i="1" a="1"/>
  <c r="J305" i="1" s="1"/>
  <c r="J304" i="1" a="1"/>
  <c r="J304" i="1" s="1"/>
  <c r="J303" i="1" a="1"/>
  <c r="J303" i="1" s="1"/>
  <c r="J302" i="1" a="1"/>
  <c r="J302" i="1" s="1"/>
  <c r="J301" i="1" a="1"/>
  <c r="J301" i="1" s="1"/>
  <c r="J300" i="1" a="1"/>
  <c r="J300" i="1" s="1"/>
  <c r="J299" i="1" a="1"/>
  <c r="J299" i="1" s="1"/>
  <c r="J298" i="1" a="1"/>
  <c r="J298" i="1" s="1"/>
  <c r="J297" i="1" a="1"/>
  <c r="J297" i="1" s="1"/>
  <c r="J296" i="1" a="1"/>
  <c r="J296" i="1" s="1"/>
  <c r="J295" i="1" a="1"/>
  <c r="J295" i="1" s="1"/>
  <c r="J294" i="1" a="1"/>
  <c r="J294" i="1" s="1"/>
  <c r="J293" i="1" a="1"/>
  <c r="J293" i="1" s="1"/>
  <c r="J292" i="1" a="1"/>
  <c r="J292" i="1" s="1"/>
  <c r="J291" i="1" a="1"/>
  <c r="J291" i="1" s="1"/>
  <c r="J290" i="1" a="1"/>
  <c r="J290" i="1" s="1"/>
  <c r="J289" i="1" a="1"/>
  <c r="J289" i="1" s="1"/>
  <c r="J288" i="1" a="1"/>
  <c r="J288" i="1" s="1"/>
  <c r="J287" i="1" a="1"/>
  <c r="J287" i="1" s="1"/>
  <c r="J286" i="1" a="1"/>
  <c r="J286" i="1" s="1"/>
  <c r="J285" i="1" a="1"/>
  <c r="J285" i="1" s="1"/>
  <c r="J284" i="1" a="1"/>
  <c r="J284" i="1" s="1"/>
  <c r="J283" i="1" a="1"/>
  <c r="J283" i="1" s="1"/>
  <c r="J282" i="1" a="1"/>
  <c r="J282" i="1" s="1"/>
  <c r="J281" i="1" a="1"/>
  <c r="J281" i="1" s="1"/>
  <c r="J280" i="1" a="1"/>
  <c r="J280" i="1" s="1"/>
  <c r="J279" i="1" a="1"/>
  <c r="J279" i="1" s="1"/>
  <c r="J278" i="1" a="1"/>
  <c r="J278" i="1" s="1"/>
  <c r="J277" i="1" a="1"/>
  <c r="J277" i="1" s="1"/>
  <c r="J276" i="1" a="1"/>
  <c r="J276" i="1" s="1"/>
  <c r="J275" i="1" a="1"/>
  <c r="J275" i="1" s="1"/>
  <c r="J274" i="1" a="1"/>
  <c r="J274" i="1" s="1"/>
  <c r="J273" i="1" a="1"/>
  <c r="J273" i="1" s="1"/>
  <c r="J272" i="1" a="1"/>
  <c r="J272" i="1" s="1"/>
  <c r="J271" i="1" a="1"/>
  <c r="J271" i="1" s="1"/>
  <c r="J270" i="1" a="1"/>
  <c r="J270" i="1" s="1"/>
  <c r="J269" i="1" a="1"/>
  <c r="J269" i="1" s="1"/>
  <c r="J268" i="1" a="1"/>
  <c r="J268" i="1" s="1"/>
  <c r="J267" i="1" a="1"/>
  <c r="J267" i="1" s="1"/>
  <c r="J266" i="1" a="1"/>
  <c r="J266" i="1" s="1"/>
  <c r="J265" i="1" a="1"/>
  <c r="J265" i="1" s="1"/>
  <c r="J264" i="1" a="1"/>
  <c r="J264" i="1" s="1"/>
  <c r="J263" i="1" a="1"/>
  <c r="J263" i="1" s="1"/>
  <c r="J249" i="1" a="1"/>
  <c r="J249" i="1" s="1"/>
  <c r="J248" i="1" a="1"/>
  <c r="J248" i="1" s="1"/>
  <c r="J247" i="1" a="1"/>
  <c r="J247" i="1" s="1"/>
  <c r="J246" i="1" a="1"/>
  <c r="J246" i="1" s="1"/>
  <c r="J245" i="1" a="1"/>
  <c r="J245" i="1" s="1"/>
  <c r="J244" i="1" a="1"/>
  <c r="J244" i="1" s="1"/>
  <c r="J243" i="1" a="1"/>
  <c r="J243" i="1" s="1"/>
  <c r="J242" i="1" a="1"/>
  <c r="J242" i="1" s="1"/>
  <c r="J241" i="1" a="1"/>
  <c r="J241" i="1" s="1"/>
  <c r="J240" i="1" a="1"/>
  <c r="J240" i="1" s="1"/>
  <c r="J239" i="1" a="1"/>
  <c r="J239" i="1" s="1"/>
  <c r="J238" i="1" a="1"/>
  <c r="J238" i="1" s="1"/>
  <c r="J237" i="1" a="1"/>
  <c r="J237" i="1" s="1"/>
  <c r="J236" i="1" a="1"/>
  <c r="J236" i="1" s="1"/>
  <c r="J235" i="1" a="1"/>
  <c r="J235" i="1" s="1"/>
  <c r="J234" i="1" a="1"/>
  <c r="J234" i="1" s="1"/>
  <c r="J233" i="1" a="1"/>
  <c r="J233" i="1" s="1"/>
  <c r="J232" i="1" a="1"/>
  <c r="J232" i="1" s="1"/>
  <c r="J231" i="1" a="1"/>
  <c r="J231" i="1" s="1"/>
  <c r="J230" i="1" a="1"/>
  <c r="J230" i="1" s="1"/>
  <c r="J229" i="1" a="1"/>
  <c r="J229" i="1" s="1"/>
  <c r="J228" i="1" a="1"/>
  <c r="J228" i="1" s="1"/>
  <c r="J227" i="1" a="1"/>
  <c r="J227" i="1" s="1"/>
  <c r="J226" i="1" a="1"/>
  <c r="J226" i="1" s="1"/>
  <c r="J225" i="1" a="1"/>
  <c r="J225" i="1" s="1"/>
  <c r="J224" i="1" a="1"/>
  <c r="J224" i="1" s="1"/>
  <c r="J223" i="1" a="1"/>
  <c r="J223" i="1" s="1"/>
  <c r="J222" i="1" a="1"/>
  <c r="J222" i="1" s="1"/>
  <c r="J221" i="1" a="1"/>
  <c r="J221" i="1" s="1"/>
  <c r="J220" i="1" a="1"/>
  <c r="J220" i="1" s="1"/>
  <c r="J219" i="1" a="1"/>
  <c r="J219" i="1" s="1"/>
  <c r="J218" i="1" a="1"/>
  <c r="J218" i="1" s="1"/>
  <c r="J217" i="1" a="1"/>
  <c r="J217" i="1" s="1"/>
  <c r="J216" i="1" a="1"/>
  <c r="J216" i="1" s="1"/>
  <c r="J215" i="1" a="1"/>
  <c r="J215" i="1" s="1"/>
  <c r="J214" i="1" a="1"/>
  <c r="J214" i="1" s="1"/>
  <c r="J213" i="1" a="1"/>
  <c r="J213" i="1" s="1"/>
  <c r="J212" i="1" a="1"/>
  <c r="J212" i="1" s="1"/>
  <c r="J211" i="1" a="1"/>
  <c r="J211" i="1" s="1"/>
  <c r="J210" i="1" a="1"/>
  <c r="J210" i="1" s="1"/>
  <c r="J209" i="1" a="1"/>
  <c r="J209" i="1" s="1"/>
  <c r="J208" i="1" a="1"/>
  <c r="J208" i="1" s="1"/>
  <c r="J207" i="1" a="1"/>
  <c r="J207" i="1" s="1"/>
  <c r="J206" i="1" a="1"/>
  <c r="J206" i="1" s="1"/>
  <c r="J205" i="1" a="1"/>
  <c r="J205" i="1" s="1"/>
  <c r="J204" i="1" a="1"/>
  <c r="J204" i="1" s="1"/>
  <c r="J203" i="1" a="1"/>
  <c r="J203" i="1" s="1"/>
  <c r="J202" i="1" a="1"/>
  <c r="J202" i="1" s="1"/>
  <c r="J201" i="1" a="1"/>
  <c r="J201" i="1" s="1"/>
  <c r="J200" i="1" a="1"/>
  <c r="J200" i="1" s="1"/>
  <c r="J199" i="1" a="1"/>
  <c r="J199" i="1" s="1"/>
  <c r="J198" i="1" a="1"/>
  <c r="J198" i="1" s="1"/>
  <c r="J197" i="1" a="1"/>
  <c r="J197" i="1" s="1"/>
  <c r="J196" i="1" a="1"/>
  <c r="J196" i="1" s="1"/>
  <c r="J195" i="1" a="1"/>
  <c r="J195" i="1" s="1"/>
  <c r="J194" i="1" a="1"/>
  <c r="J194" i="1" s="1"/>
  <c r="J193" i="1" a="1"/>
  <c r="J193" i="1" s="1"/>
  <c r="J192" i="1" a="1"/>
  <c r="J192" i="1" s="1"/>
  <c r="J191" i="1" a="1"/>
  <c r="J191" i="1" s="1"/>
  <c r="J190" i="1" a="1"/>
  <c r="J190" i="1" s="1"/>
  <c r="J189" i="1" a="1"/>
  <c r="J189" i="1" s="1"/>
  <c r="J188" i="1" a="1"/>
  <c r="J188" i="1" s="1"/>
  <c r="J187" i="1" a="1"/>
  <c r="J187" i="1" s="1"/>
  <c r="J186" i="1" a="1"/>
  <c r="J186" i="1" s="1"/>
  <c r="J185" i="1" a="1"/>
  <c r="J185" i="1" s="1"/>
  <c r="J184" i="1" a="1"/>
  <c r="J184" i="1" s="1"/>
  <c r="J183" i="1" a="1"/>
  <c r="J183" i="1" s="1"/>
  <c r="J182" i="1" a="1"/>
  <c r="J182" i="1" s="1"/>
  <c r="J181" i="1" a="1"/>
  <c r="J181" i="1" s="1"/>
  <c r="J180" i="1" a="1"/>
  <c r="J180" i="1" s="1"/>
  <c r="J179" i="1" a="1"/>
  <c r="J179" i="1" s="1"/>
  <c r="J178" i="1" a="1"/>
  <c r="J178" i="1" s="1"/>
  <c r="J177" i="1" a="1"/>
  <c r="J177" i="1" s="1"/>
  <c r="J176" i="1" a="1"/>
  <c r="J176" i="1" s="1"/>
  <c r="J160" i="1" a="1"/>
  <c r="J160" i="1" s="1"/>
  <c r="J159" i="1" a="1"/>
  <c r="J159" i="1" s="1"/>
  <c r="J158" i="1" a="1"/>
  <c r="J158" i="1" s="1"/>
  <c r="J157" i="1" a="1"/>
  <c r="J157" i="1" s="1"/>
  <c r="J156" i="1" a="1"/>
  <c r="J156" i="1" s="1"/>
  <c r="J155" i="1" a="1"/>
  <c r="J155" i="1" s="1"/>
  <c r="J154" i="1" a="1"/>
  <c r="J154" i="1" s="1"/>
  <c r="J153" i="1" a="1"/>
  <c r="J153" i="1" s="1"/>
  <c r="J150" i="1" a="1"/>
  <c r="J150" i="1" s="1"/>
  <c r="J149" i="1" a="1"/>
  <c r="J149" i="1" s="1"/>
  <c r="J148" i="1" a="1"/>
  <c r="J148" i="1" s="1"/>
  <c r="J147" i="1" a="1"/>
  <c r="J147" i="1" s="1"/>
  <c r="J146" i="1" a="1"/>
  <c r="J146" i="1" s="1"/>
  <c r="J145" i="1" a="1"/>
  <c r="J145" i="1" s="1"/>
  <c r="J144" i="1" a="1"/>
  <c r="J144" i="1" s="1"/>
  <c r="J143" i="1" a="1"/>
  <c r="J143" i="1" s="1"/>
  <c r="J142" i="1" a="1"/>
  <c r="J142" i="1" s="1"/>
  <c r="J141" i="1" a="1"/>
  <c r="J141" i="1" s="1"/>
  <c r="J140" i="1" a="1"/>
  <c r="J140" i="1" s="1"/>
  <c r="J139" i="1" a="1"/>
  <c r="J139" i="1" s="1"/>
  <c r="J138" i="1" a="1"/>
  <c r="J138" i="1" s="1"/>
  <c r="J137" i="1" a="1"/>
  <c r="J137" i="1" s="1"/>
  <c r="J136" i="1" a="1"/>
  <c r="J136" i="1" s="1"/>
  <c r="J135" i="1" a="1"/>
  <c r="J135" i="1" s="1"/>
  <c r="J134" i="1" a="1"/>
  <c r="J134" i="1" s="1"/>
  <c r="J133" i="1" a="1"/>
  <c r="J133" i="1" s="1"/>
  <c r="J132" i="1" a="1"/>
  <c r="J132" i="1" s="1"/>
  <c r="J131" i="1" a="1"/>
  <c r="J131" i="1" s="1"/>
  <c r="J130" i="1" a="1"/>
  <c r="J130" i="1" s="1"/>
  <c r="J129" i="1" a="1"/>
  <c r="J129" i="1" s="1"/>
  <c r="J128" i="1" a="1"/>
  <c r="J128" i="1" s="1"/>
  <c r="J127" i="1" a="1"/>
  <c r="J127" i="1" s="1"/>
  <c r="J126" i="1" a="1"/>
  <c r="J126" i="1" s="1"/>
  <c r="J125" i="1" a="1"/>
  <c r="J125" i="1" s="1"/>
  <c r="J124" i="1" a="1"/>
  <c r="J124" i="1" s="1"/>
  <c r="J123" i="1" a="1"/>
  <c r="J123" i="1" s="1"/>
  <c r="J122" i="1" a="1"/>
  <c r="J122" i="1" s="1"/>
  <c r="J121" i="1" a="1"/>
  <c r="J121" i="1" s="1"/>
  <c r="J120" i="1" a="1"/>
  <c r="J120" i="1" s="1"/>
  <c r="J119" i="1" a="1"/>
  <c r="J119" i="1" s="1"/>
  <c r="J118" i="1" a="1"/>
  <c r="J118" i="1" s="1"/>
  <c r="J117" i="1" a="1"/>
  <c r="J117" i="1" s="1"/>
  <c r="J116" i="1" a="1"/>
  <c r="J116" i="1" s="1"/>
  <c r="J115" i="1" a="1"/>
  <c r="J115" i="1" s="1"/>
  <c r="J114" i="1" a="1"/>
  <c r="J114" i="1" s="1"/>
  <c r="J113" i="1" a="1"/>
  <c r="J113" i="1" s="1"/>
  <c r="J112" i="1" a="1"/>
  <c r="J112" i="1" s="1"/>
  <c r="J111" i="1" a="1"/>
  <c r="J111" i="1" s="1"/>
  <c r="J110" i="1" a="1"/>
  <c r="J110" i="1" s="1"/>
  <c r="J109" i="1" a="1"/>
  <c r="J109" i="1" s="1"/>
  <c r="J108" i="1" a="1"/>
  <c r="J108" i="1" s="1"/>
  <c r="J107" i="1" a="1"/>
  <c r="J107" i="1" s="1"/>
  <c r="J106" i="1" a="1"/>
  <c r="J106" i="1" s="1"/>
  <c r="J105" i="1" a="1"/>
  <c r="J105" i="1" s="1"/>
  <c r="J104" i="1" a="1"/>
  <c r="J104" i="1" s="1"/>
  <c r="J103" i="1" a="1"/>
  <c r="J103" i="1" s="1"/>
  <c r="J102" i="1" a="1"/>
  <c r="J102" i="1" s="1"/>
  <c r="J101" i="1" a="1"/>
  <c r="J101" i="1" s="1"/>
  <c r="J100" i="1" a="1"/>
  <c r="J100" i="1" s="1"/>
  <c r="J99" i="1" a="1"/>
  <c r="J99" i="1" s="1"/>
  <c r="J98" i="1" a="1"/>
  <c r="J98" i="1" s="1"/>
  <c r="J97" i="1" a="1"/>
  <c r="J97" i="1" s="1"/>
  <c r="J96" i="1" a="1"/>
  <c r="J96" i="1" s="1"/>
  <c r="J95" i="1" a="1"/>
  <c r="J95" i="1" s="1"/>
  <c r="J94" i="1" a="1"/>
  <c r="J94" i="1" s="1"/>
  <c r="J93" i="1" a="1"/>
  <c r="J93" i="1" s="1"/>
  <c r="J92" i="1" a="1"/>
  <c r="J92" i="1" s="1"/>
  <c r="J91" i="1" a="1"/>
  <c r="J91" i="1" s="1"/>
  <c r="J90" i="1" a="1"/>
  <c r="J90" i="1" s="1"/>
  <c r="J89" i="1" a="1"/>
  <c r="J89" i="1" s="1"/>
  <c r="J88" i="1" a="1"/>
  <c r="J88" i="1" s="1"/>
  <c r="J87" i="1" a="1"/>
  <c r="J87" i="1" s="1"/>
  <c r="J86" i="1" a="1"/>
  <c r="J86" i="1" s="1"/>
  <c r="J85" i="1" a="1"/>
  <c r="J85" i="1" s="1"/>
  <c r="J84" i="1" a="1"/>
  <c r="J84" i="1" s="1"/>
  <c r="J83" i="1" a="1"/>
  <c r="J83" i="1" s="1"/>
  <c r="J82" i="1" a="1"/>
  <c r="J82" i="1" s="1"/>
  <c r="J81" i="1" a="1"/>
  <c r="J81" i="1" s="1"/>
  <c r="J80" i="1" a="1"/>
  <c r="J80" i="1" s="1"/>
  <c r="J79" i="1" a="1"/>
  <c r="J79" i="1" s="1"/>
  <c r="J78" i="1" a="1"/>
  <c r="J78" i="1" s="1"/>
  <c r="J77" i="1" a="1"/>
  <c r="J77" i="1" s="1"/>
  <c r="J76" i="1" a="1"/>
  <c r="J76" i="1" s="1"/>
  <c r="J75" i="1" a="1"/>
  <c r="J75" i="1" s="1"/>
  <c r="J74" i="1" a="1"/>
  <c r="J74" i="1" s="1"/>
  <c r="J73" i="1" a="1"/>
  <c r="J73" i="1" s="1"/>
  <c r="J72" i="1" a="1"/>
  <c r="J72" i="1" s="1"/>
  <c r="J71" i="1" a="1"/>
  <c r="J71" i="1" s="1"/>
  <c r="J70" i="1" a="1"/>
  <c r="J70" i="1" s="1"/>
  <c r="J69" i="1" a="1"/>
  <c r="J69" i="1" s="1"/>
  <c r="J68" i="1" a="1"/>
  <c r="J68" i="1" s="1"/>
  <c r="J67" i="1" a="1"/>
  <c r="J67" i="1" s="1"/>
  <c r="J66" i="1" a="1"/>
  <c r="J66" i="1" s="1"/>
  <c r="J65" i="1" a="1"/>
  <c r="J65" i="1" s="1"/>
  <c r="J64" i="1" a="1"/>
  <c r="J64" i="1" s="1"/>
  <c r="J63" i="1" a="1"/>
  <c r="J63" i="1" s="1"/>
  <c r="J62" i="1" a="1"/>
  <c r="J62" i="1" s="1"/>
  <c r="J61" i="1" a="1"/>
  <c r="J61" i="1" s="1"/>
  <c r="J60" i="1" a="1"/>
  <c r="J60" i="1" s="1"/>
  <c r="J59" i="1" a="1"/>
  <c r="J59" i="1" s="1"/>
  <c r="J58" i="1" a="1"/>
  <c r="J58" i="1" s="1"/>
  <c r="J57" i="1" a="1"/>
  <c r="J57" i="1" s="1"/>
  <c r="J56" i="1" a="1"/>
  <c r="J56" i="1" s="1"/>
  <c r="J55" i="1" a="1"/>
  <c r="J55" i="1" s="1"/>
  <c r="J54" i="1" a="1"/>
  <c r="J54" i="1" s="1"/>
  <c r="J53" i="1" a="1"/>
  <c r="J53" i="1" s="1"/>
  <c r="J52" i="1" a="1"/>
  <c r="J52" i="1" s="1"/>
  <c r="J51" i="1" a="1"/>
  <c r="J51" i="1" s="1"/>
  <c r="J50" i="1" a="1"/>
  <c r="J50" i="1" s="1"/>
  <c r="J49" i="1" a="1"/>
  <c r="J49" i="1" s="1"/>
  <c r="J48" i="1" a="1"/>
  <c r="J48" i="1" s="1"/>
  <c r="J47" i="1" a="1"/>
  <c r="J47" i="1" s="1"/>
  <c r="J46" i="1" a="1"/>
  <c r="J46" i="1" s="1"/>
  <c r="J45" i="1" a="1"/>
  <c r="J45" i="1" s="1"/>
  <c r="J44" i="1" a="1"/>
  <c r="J44" i="1" s="1"/>
  <c r="J43" i="1" a="1"/>
  <c r="J43" i="1" s="1"/>
  <c r="J42" i="1" a="1"/>
  <c r="J42" i="1" s="1"/>
  <c r="J41" i="1" a="1"/>
  <c r="J41" i="1" s="1"/>
  <c r="J40" i="1" a="1"/>
  <c r="J40" i="1" s="1"/>
  <c r="J39" i="1" a="1"/>
  <c r="J39" i="1" s="1"/>
  <c r="J38" i="1" a="1"/>
  <c r="J38" i="1" s="1"/>
  <c r="J37" i="1" a="1"/>
  <c r="J37" i="1" s="1"/>
  <c r="J36" i="1" a="1"/>
  <c r="J36" i="1" s="1"/>
  <c r="J35" i="1" a="1"/>
  <c r="J35" i="1" s="1"/>
  <c r="J34" i="1" a="1"/>
  <c r="J34" i="1" s="1"/>
  <c r="J33" i="1" a="1"/>
  <c r="J33" i="1" s="1"/>
  <c r="J32" i="1" a="1"/>
  <c r="J32" i="1" s="1"/>
  <c r="J31" i="1" a="1"/>
  <c r="J31" i="1" s="1"/>
  <c r="J30" i="1" a="1"/>
  <c r="J30" i="1" s="1"/>
  <c r="J29" i="1" a="1"/>
  <c r="J29" i="1" s="1"/>
  <c r="J28" i="1" a="1"/>
  <c r="J28" i="1" s="1"/>
  <c r="J27" i="1" a="1"/>
  <c r="J27" i="1" s="1"/>
  <c r="J26" i="1" a="1"/>
  <c r="J26" i="1" s="1"/>
  <c r="J25" i="1" a="1"/>
  <c r="J25" i="1" s="1"/>
  <c r="J24" i="1" a="1"/>
  <c r="J24" i="1" s="1"/>
  <c r="J23" i="1" a="1"/>
  <c r="J23" i="1" s="1"/>
  <c r="J22" i="1" a="1"/>
  <c r="J22" i="1" s="1"/>
  <c r="J21" i="1" a="1"/>
  <c r="J21" i="1" s="1"/>
  <c r="J20" i="1" a="1"/>
  <c r="J20" i="1" s="1"/>
  <c r="J19" i="1" a="1"/>
  <c r="J19" i="1" s="1"/>
  <c r="J18" i="1" a="1"/>
  <c r="J18" i="1" s="1"/>
  <c r="J17" i="1" a="1"/>
  <c r="J17" i="1" s="1"/>
  <c r="J16" i="1" a="1"/>
  <c r="J16" i="1" s="1"/>
  <c r="J15" i="1" a="1"/>
  <c r="J15" i="1" s="1"/>
  <c r="J14" i="1" a="1"/>
  <c r="J14" i="1" s="1"/>
  <c r="J13" i="1" a="1"/>
  <c r="J13" i="1" s="1"/>
  <c r="J12" i="1" a="1"/>
  <c r="J12" i="1" s="1"/>
  <c r="J11" i="1" a="1"/>
  <c r="J11" i="1" s="1"/>
  <c r="J10" i="1" a="1"/>
  <c r="J10" i="1" s="1"/>
  <c r="J9" i="1" a="1"/>
  <c r="J9" i="1" s="1"/>
  <c r="J8" i="1" a="1"/>
  <c r="J8" i="1" s="1"/>
  <c r="J7" i="1" a="1"/>
  <c r="J7" i="1" s="1"/>
  <c r="J6" i="1" a="1"/>
  <c r="J6" i="1" s="1"/>
  <c r="J5" i="1" a="1"/>
  <c r="J5" i="1" s="1"/>
  <c r="J4" i="1" a="1"/>
  <c r="J4" i="1" s="1"/>
  <c r="J3" i="1" a="1"/>
  <c r="J3" i="1" s="1"/>
  <c r="J2" i="1" a="1"/>
  <c r="J2" i="1" s="1"/>
  <c r="J717" i="1" l="1" a="1"/>
  <c r="J717" i="1" s="1"/>
  <c r="J1047" i="1" a="1"/>
  <c r="J1047" i="1" s="1"/>
  <c r="J795" i="1" a="1"/>
  <c r="J795" i="1" s="1"/>
  <c r="J1046" i="1" a="1"/>
  <c r="J1046" i="1" s="1"/>
  <c r="J719" i="1" a="1"/>
  <c r="J719" i="1" s="1"/>
  <c r="J952" i="1" a="1"/>
  <c r="J952" i="1" s="1"/>
  <c r="J797" i="1" a="1"/>
  <c r="J797" i="1" s="1"/>
  <c r="J954" i="1" a="1"/>
  <c r="J954" i="1" s="1"/>
  <c r="J953" i="1" a="1"/>
  <c r="J953" i="1" s="1"/>
  <c r="J956" i="1" a="1"/>
  <c r="J956" i="1" s="1"/>
  <c r="J955" i="1" a="1"/>
  <c r="J955" i="1" s="1"/>
  <c r="J803" i="1" a="1"/>
  <c r="J803" i="1" s="1"/>
  <c r="J802" i="1" a="1"/>
  <c r="J802" i="1" s="1"/>
  <c r="J725" i="1" a="1"/>
  <c r="J725" i="1" s="1"/>
  <c r="J1045" i="1" a="1"/>
  <c r="J1045" i="1" s="1"/>
  <c r="J804" i="1" a="1"/>
  <c r="J804" i="1" s="1"/>
  <c r="J957" i="1" a="1"/>
  <c r="J957" i="1" s="1"/>
  <c r="J806" i="1" a="1"/>
  <c r="J806" i="1" s="1"/>
  <c r="J958" i="1" a="1"/>
  <c r="J958" i="1" s="1"/>
  <c r="J808" i="1" a="1"/>
  <c r="J808" i="1" s="1"/>
  <c r="J960" i="1" a="1"/>
  <c r="J960" i="1" s="1"/>
  <c r="J959" i="1" a="1"/>
  <c r="J959" i="1" s="1"/>
  <c r="J1044" i="1" a="1"/>
  <c r="J1044" i="1" s="1"/>
  <c r="J962" i="1" a="1"/>
  <c r="J962" i="1" s="1"/>
  <c r="J961" i="1" a="1"/>
  <c r="J961" i="1" s="1"/>
  <c r="J652" i="1" a="1"/>
  <c r="J652" i="1" s="1"/>
  <c r="J651" i="1" a="1"/>
  <c r="J651" i="1" s="1"/>
  <c r="J152" i="1" a="1"/>
  <c r="J152" i="1" s="1"/>
  <c r="J151" i="1" a="1"/>
  <c r="J151" i="1" s="1"/>
  <c r="J963" i="1" a="1"/>
  <c r="J963" i="1" s="1"/>
  <c r="J576" i="1" a="1"/>
  <c r="J576" i="1" s="1"/>
  <c r="J964" i="1" a="1"/>
  <c r="J964" i="1" s="1"/>
  <c r="J813" i="1" a="1"/>
  <c r="J813" i="1" s="1"/>
  <c r="J965" i="1" a="1"/>
  <c r="J965" i="1" s="1"/>
  <c r="J815" i="1" a="1"/>
  <c r="J815" i="1" s="1"/>
  <c r="J967" i="1" a="1"/>
  <c r="J967" i="1" s="1"/>
  <c r="J966" i="1" a="1"/>
  <c r="J966" i="1" s="1"/>
  <c r="J828" i="1" a="1"/>
  <c r="J828" i="1" s="1"/>
  <c r="J827" i="1" a="1"/>
  <c r="J827" i="1" s="1"/>
  <c r="J968" i="1" a="1"/>
  <c r="J968" i="1" s="1"/>
  <c r="J969" i="1" a="1"/>
  <c r="J969" i="1" s="1"/>
  <c r="J831" i="1" a="1"/>
  <c r="J831" i="1" s="1"/>
  <c r="J492" i="1" a="1"/>
  <c r="J492" i="1" s="1"/>
  <c r="J970" i="1" a="1"/>
  <c r="J970" i="1" s="1"/>
  <c r="J1043" i="1" a="1"/>
  <c r="J1043" i="1" s="1"/>
  <c r="J833" i="1" a="1"/>
  <c r="J833" i="1" s="1"/>
  <c r="J494" i="1" a="1"/>
  <c r="J494" i="1" s="1"/>
  <c r="J971" i="1" a="1"/>
  <c r="J971" i="1" s="1"/>
  <c r="J835" i="1" a="1"/>
  <c r="J835" i="1" s="1"/>
  <c r="J664" i="1" a="1"/>
  <c r="J664" i="1" s="1"/>
  <c r="J973" i="1" a="1"/>
  <c r="J973" i="1" s="1"/>
  <c r="J836" i="1" a="1"/>
  <c r="J836" i="1" s="1"/>
  <c r="J972" i="1" a="1"/>
  <c r="J972" i="1" s="1"/>
  <c r="J838" i="1" a="1"/>
  <c r="J838" i="1" s="1"/>
  <c r="J974" i="1" a="1"/>
  <c r="J974" i="1" s="1"/>
  <c r="J1042" i="1" a="1"/>
  <c r="J1042" i="1" s="1"/>
  <c r="J975" i="1" a="1"/>
  <c r="J975" i="1" s="1"/>
  <c r="J841" i="1" a="1"/>
  <c r="J841" i="1" s="1"/>
  <c r="J976" i="1" a="1"/>
  <c r="J976" i="1" s="1"/>
  <c r="J843" i="1" a="1"/>
  <c r="J843" i="1" s="1"/>
  <c r="J501" i="1" a="1"/>
  <c r="J501" i="1" s="1"/>
  <c r="J1035" i="1" a="1"/>
  <c r="J1035" i="1" s="1"/>
  <c r="J844" i="1" a="1"/>
  <c r="J844" i="1" s="1"/>
  <c r="J1029" i="1" a="1"/>
  <c r="J1029" i="1" s="1"/>
  <c r="J977" i="1" a="1"/>
  <c r="J977" i="1" s="1"/>
  <c r="J848" i="1" a="1"/>
  <c r="J848" i="1" s="1"/>
  <c r="J847" i="1" a="1"/>
  <c r="J847" i="1" s="1"/>
  <c r="J595" i="1" a="1"/>
  <c r="J595" i="1" s="1"/>
  <c r="J1034" i="1" a="1"/>
  <c r="J1034" i="1" s="1"/>
  <c r="J849" i="1" a="1"/>
  <c r="J849" i="1" s="1"/>
  <c r="J1036" i="1" a="1"/>
  <c r="J1036" i="1" s="1"/>
  <c r="J1037" i="1" a="1"/>
  <c r="J1037" i="1" s="1"/>
  <c r="J852" i="1" a="1"/>
  <c r="J852" i="1" s="1"/>
  <c r="J1040" i="1" a="1"/>
  <c r="J1040" i="1" s="1"/>
  <c r="J1041" i="1" a="1"/>
  <c r="J1041" i="1" s="1"/>
  <c r="J854" i="1" a="1"/>
  <c r="J854" i="1" s="1"/>
  <c r="J509" i="1" a="1"/>
  <c r="J509" i="1" s="1"/>
  <c r="J1039" i="1" a="1"/>
  <c r="J1039" i="1" s="1"/>
  <c r="J1038" i="1" a="1"/>
  <c r="J1038" i="1" s="1"/>
  <c r="J857" i="1" a="1"/>
  <c r="J857" i="1" s="1"/>
  <c r="J856" i="1" a="1"/>
  <c r="J856" i="1" s="1"/>
  <c r="J512" i="1" a="1"/>
  <c r="J512" i="1" s="1"/>
  <c r="J511" i="1" a="1"/>
  <c r="J511" i="1" s="1"/>
  <c r="J161" i="1" a="1"/>
  <c r="J161" i="1" s="1"/>
  <c r="J1017" i="1" a="1"/>
  <c r="J1017" i="1" s="1"/>
  <c r="J1001" i="1" a="1"/>
  <c r="J1001" i="1" s="1"/>
  <c r="J1000" i="1" a="1"/>
  <c r="J1000" i="1" s="1"/>
  <c r="J999" i="1" a="1"/>
  <c r="J999" i="1" s="1"/>
  <c r="J998" i="1" a="1"/>
  <c r="J998" i="1" s="1"/>
  <c r="J997" i="1" a="1"/>
  <c r="J997" i="1" s="1"/>
  <c r="J996" i="1" a="1"/>
  <c r="J996" i="1" s="1"/>
  <c r="J995" i="1" a="1"/>
  <c r="J995" i="1" s="1"/>
  <c r="J994" i="1" a="1"/>
  <c r="J994" i="1" s="1"/>
  <c r="J993" i="1" a="1"/>
  <c r="J993" i="1" s="1"/>
  <c r="J992" i="1" a="1"/>
  <c r="J992" i="1" s="1"/>
  <c r="J991" i="1" a="1"/>
  <c r="J991" i="1" s="1"/>
  <c r="J990" i="1" a="1"/>
  <c r="J990" i="1" s="1"/>
  <c r="J989" i="1" a="1"/>
  <c r="J989" i="1" s="1"/>
  <c r="J988" i="1" a="1"/>
  <c r="J988" i="1" s="1"/>
  <c r="J987" i="1" a="1"/>
  <c r="J987" i="1" s="1"/>
  <c r="J986" i="1" a="1"/>
  <c r="J986" i="1" s="1"/>
  <c r="J985" i="1" a="1"/>
  <c r="J985" i="1" s="1"/>
  <c r="J984" i="1" a="1"/>
  <c r="J984" i="1" s="1"/>
  <c r="J983" i="1" a="1"/>
  <c r="J983" i="1" s="1"/>
  <c r="J982" i="1" a="1"/>
  <c r="J982" i="1" s="1"/>
  <c r="J981" i="1" a="1"/>
  <c r="J981" i="1" s="1"/>
  <c r="J980" i="1" a="1"/>
  <c r="J980" i="1" s="1"/>
  <c r="J979" i="1" a="1"/>
  <c r="J979" i="1" s="1"/>
  <c r="J978" i="1" a="1"/>
  <c r="J978" i="1" s="1"/>
  <c r="J893" i="1" a="1"/>
  <c r="J893" i="1" s="1"/>
  <c r="J892" i="1" a="1"/>
  <c r="J892" i="1" s="1"/>
  <c r="J891" i="1" a="1"/>
  <c r="J891" i="1" s="1"/>
  <c r="J890" i="1" a="1"/>
  <c r="J890" i="1" s="1"/>
  <c r="J889" i="1" a="1"/>
  <c r="J889" i="1" s="1"/>
  <c r="J888" i="1" a="1"/>
  <c r="J888" i="1" s="1"/>
  <c r="J887" i="1" a="1"/>
  <c r="J887" i="1" s="1"/>
  <c r="J886" i="1" a="1"/>
  <c r="J886" i="1" s="1"/>
  <c r="J885" i="1" a="1"/>
  <c r="J885" i="1" s="1"/>
  <c r="J884" i="1" a="1"/>
  <c r="J884" i="1" s="1"/>
  <c r="J883" i="1" a="1"/>
  <c r="J883" i="1" s="1"/>
  <c r="J882" i="1" a="1"/>
  <c r="J882" i="1" s="1"/>
  <c r="J881" i="1" a="1"/>
  <c r="J881" i="1" s="1"/>
  <c r="J880" i="1" a="1"/>
  <c r="J880" i="1" s="1"/>
  <c r="J879" i="1" a="1"/>
  <c r="J879" i="1" s="1"/>
  <c r="J878" i="1" a="1"/>
  <c r="J878" i="1" s="1"/>
  <c r="J877" i="1" a="1"/>
  <c r="J877" i="1" s="1"/>
  <c r="J876" i="1" a="1"/>
  <c r="J876" i="1" s="1"/>
  <c r="J875" i="1" a="1"/>
  <c r="J875" i="1" s="1"/>
  <c r="J874" i="1" a="1"/>
  <c r="J874" i="1" s="1"/>
  <c r="J873" i="1" a="1"/>
  <c r="J873" i="1" s="1"/>
  <c r="J872" i="1" a="1"/>
  <c r="J872" i="1" s="1"/>
  <c r="J871" i="1" a="1"/>
  <c r="J871" i="1" s="1"/>
  <c r="J870" i="1" a="1"/>
  <c r="J870" i="1" s="1"/>
  <c r="J869" i="1" a="1"/>
  <c r="J869" i="1" s="1"/>
  <c r="J705" i="1" a="1"/>
  <c r="J705" i="1" s="1"/>
  <c r="J704" i="1" a="1"/>
  <c r="J704" i="1" s="1"/>
  <c r="J703" i="1" a="1"/>
  <c r="J703" i="1" s="1"/>
  <c r="J525" i="1" a="1"/>
  <c r="J525" i="1" s="1"/>
  <c r="J524" i="1" a="1"/>
  <c r="J524" i="1" s="1"/>
  <c r="J523" i="1" a="1"/>
  <c r="J523" i="1" s="1"/>
  <c r="J350" i="1" a="1"/>
  <c r="J350" i="1" s="1"/>
  <c r="J349" i="1" a="1"/>
  <c r="J349" i="1" s="1"/>
  <c r="J348" i="1" a="1"/>
  <c r="J348" i="1" s="1"/>
  <c r="J262" i="1" a="1"/>
  <c r="J262" i="1" s="1"/>
  <c r="J261" i="1" a="1"/>
  <c r="J261" i="1" s="1"/>
  <c r="J260" i="1" a="1"/>
  <c r="J260" i="1" s="1"/>
  <c r="J259" i="1" a="1"/>
  <c r="J259" i="1" s="1"/>
  <c r="J258" i="1" a="1"/>
  <c r="J258" i="1" s="1"/>
  <c r="J257" i="1" a="1"/>
  <c r="J257" i="1" s="1"/>
  <c r="J256" i="1" a="1"/>
  <c r="J256" i="1" s="1"/>
  <c r="J255" i="1" a="1"/>
  <c r="J255" i="1" s="1"/>
  <c r="J254" i="1" a="1"/>
  <c r="J254" i="1" s="1"/>
  <c r="J253" i="1" a="1"/>
  <c r="J253" i="1" s="1"/>
  <c r="J252" i="1" a="1"/>
  <c r="J252" i="1" s="1"/>
  <c r="J251" i="1" a="1"/>
  <c r="J251" i="1" s="1"/>
  <c r="J250" i="1" a="1"/>
  <c r="J250" i="1" s="1"/>
  <c r="J175" i="1" a="1"/>
  <c r="J175" i="1" s="1"/>
  <c r="J174" i="1" a="1"/>
  <c r="J174" i="1" s="1"/>
  <c r="J173" i="1" a="1"/>
  <c r="J173" i="1" s="1"/>
  <c r="J172" i="1" a="1"/>
  <c r="J172" i="1" s="1"/>
  <c r="J171" i="1" a="1"/>
  <c r="J171" i="1" s="1"/>
  <c r="J170" i="1" a="1"/>
  <c r="J170" i="1" s="1"/>
  <c r="J169" i="1" a="1"/>
  <c r="J169" i="1" s="1"/>
  <c r="J168" i="1" a="1"/>
  <c r="J168" i="1" s="1"/>
  <c r="J167" i="1" a="1"/>
  <c r="J167" i="1" s="1"/>
  <c r="J166" i="1" a="1"/>
  <c r="J166" i="1" s="1"/>
  <c r="J165" i="1" a="1"/>
  <c r="J165" i="1" s="1"/>
  <c r="J164" i="1" a="1"/>
  <c r="J164" i="1" s="1"/>
  <c r="J163" i="1" a="1"/>
  <c r="J163" i="1" s="1"/>
  <c r="J162" i="1" a="1"/>
  <c r="J162" i="1" s="1"/>
  <c r="J1032" i="1" a="1"/>
  <c r="J1032" i="1" s="1"/>
  <c r="J1033" i="1" a="1"/>
  <c r="J1033" i="1" s="1"/>
  <c r="J1030" i="1" a="1"/>
  <c r="J1030" i="1" s="1"/>
  <c r="J1031" i="1" a="1"/>
  <c r="J1031" i="1" s="1"/>
  <c r="J898" i="1" a="1"/>
  <c r="J898" i="1" s="1"/>
  <c r="J799" i="1" a="1"/>
  <c r="J799" i="1" s="1"/>
  <c r="J897" i="1" a="1"/>
  <c r="J897" i="1" s="1"/>
  <c r="J440" i="1" a="1"/>
  <c r="J440" i="1" s="1"/>
  <c r="J549" i="1" a="1"/>
  <c r="J549" i="1" s="1"/>
  <c r="J546" i="1" a="1"/>
  <c r="J546" i="1" s="1"/>
  <c r="J1015" i="1" a="1"/>
  <c r="J1015" i="1" s="1"/>
  <c r="J1014" i="1" a="1"/>
  <c r="J1014" i="1" s="1"/>
  <c r="J1013" i="1" a="1"/>
  <c r="J1013" i="1" s="1"/>
  <c r="J1012" i="1" a="1"/>
  <c r="J1012" i="1" s="1"/>
  <c r="J1011" i="1" a="1"/>
  <c r="J1011" i="1" s="1"/>
  <c r="J1010" i="1" a="1"/>
  <c r="J1010" i="1" s="1"/>
  <c r="J1009" i="1" a="1"/>
  <c r="J1009" i="1" s="1"/>
  <c r="J1008" i="1" a="1"/>
  <c r="J1008" i="1" s="1"/>
  <c r="J1007" i="1" a="1"/>
  <c r="J1007" i="1" s="1"/>
  <c r="J1006" i="1" a="1"/>
  <c r="J1006" i="1" s="1"/>
  <c r="J1005" i="1" a="1"/>
  <c r="J1005" i="1" s="1"/>
  <c r="J1004" i="1" a="1"/>
  <c r="J1004" i="1" s="1"/>
  <c r="J1003" i="1" a="1"/>
  <c r="J1003" i="1" s="1"/>
  <c r="J1002" i="1" a="1"/>
  <c r="J1002" i="1" s="1"/>
  <c r="J918" i="1" a="1"/>
  <c r="J918" i="1" s="1"/>
  <c r="J917" i="1" a="1"/>
  <c r="J917" i="1" s="1"/>
  <c r="J916" i="1" a="1"/>
  <c r="J916" i="1" s="1"/>
  <c r="J915" i="1" a="1"/>
  <c r="J915" i="1" s="1"/>
  <c r="J914" i="1" a="1"/>
  <c r="J914" i="1" s="1"/>
  <c r="J913" i="1" a="1"/>
  <c r="J913" i="1" s="1"/>
  <c r="J912" i="1" a="1"/>
  <c r="J912" i="1" s="1"/>
  <c r="J911" i="1" a="1"/>
  <c r="J911" i="1" s="1"/>
  <c r="J910" i="1" a="1"/>
  <c r="J910" i="1" s="1"/>
  <c r="J909" i="1" a="1"/>
  <c r="J909" i="1" s="1"/>
  <c r="J908" i="1" a="1"/>
  <c r="J908" i="1" s="1"/>
  <c r="J907" i="1" a="1"/>
  <c r="J907" i="1" s="1"/>
  <c r="J906" i="1" a="1"/>
  <c r="J906" i="1" s="1"/>
  <c r="J905" i="1" a="1"/>
  <c r="J905" i="1" s="1"/>
  <c r="J547" i="1" a="1"/>
  <c r="J547" i="1" s="1"/>
  <c r="J826" i="1" a="1"/>
  <c r="J826" i="1" s="1"/>
  <c r="J825" i="1" a="1"/>
  <c r="J825" i="1" s="1"/>
  <c r="J824" i="1" a="1"/>
  <c r="J824" i="1" s="1"/>
  <c r="J823" i="1" a="1"/>
  <c r="J823" i="1" s="1"/>
  <c r="J822" i="1" a="1"/>
  <c r="J822" i="1" s="1"/>
  <c r="J821" i="1" a="1"/>
  <c r="J821" i="1" s="1"/>
  <c r="J820" i="1" a="1"/>
  <c r="J820" i="1" s="1"/>
  <c r="J819" i="1" a="1"/>
  <c r="J819" i="1" s="1"/>
  <c r="J818" i="1" a="1"/>
  <c r="J818" i="1" s="1"/>
  <c r="J817" i="1" a="1"/>
  <c r="J817" i="1" s="1"/>
  <c r="J734" i="1" a="1"/>
  <c r="J734" i="1" s="1"/>
  <c r="J548" i="1" a="1"/>
  <c r="J548" i="1" s="1"/>
  <c r="J550" i="1" a="1"/>
  <c r="J550" i="1" s="1"/>
  <c r="J1016" i="1" a="1"/>
  <c r="J1016" i="1" s="1"/>
  <c r="J920" i="1" a="1"/>
  <c r="J920" i="1" s="1"/>
  <c r="J1019" i="1" a="1"/>
  <c r="J1019" i="1" s="1"/>
  <c r="J1020" i="1" a="1"/>
  <c r="J1020" i="1" s="1"/>
  <c r="J1018" i="1" a="1"/>
  <c r="J1018" i="1" s="1"/>
  <c r="J1021" i="1" a="1"/>
  <c r="J1021" i="1" s="1"/>
  <c r="J1027" i="1" a="1"/>
  <c r="J1027" i="1" s="1"/>
  <c r="J925" i="1" a="1"/>
  <c r="J925" i="1" s="1"/>
  <c r="J741" i="1" a="1"/>
  <c r="J741" i="1" s="1"/>
  <c r="J1028" i="1" a="1"/>
  <c r="J1028" i="1" s="1"/>
  <c r="J1022" i="1" a="1"/>
  <c r="J1022" i="1" s="1"/>
  <c r="J927" i="1" a="1"/>
  <c r="J927" i="1" s="1"/>
  <c r="J1023" i="1" a="1"/>
  <c r="J1023" i="1" s="1"/>
  <c r="J929" i="1" a="1"/>
  <c r="J929" i="1" s="1"/>
  <c r="J1025" i="1" a="1"/>
  <c r="J1025" i="1" s="1"/>
  <c r="J1024" i="1" a="1"/>
  <c r="J1024" i="1" s="1"/>
  <c r="J932" i="1" a="1"/>
  <c r="J932" i="1" s="1"/>
  <c r="J931" i="1" a="1"/>
  <c r="J931" i="1" s="1"/>
  <c r="J1026" i="1" a="1"/>
  <c r="J1026" i="1" s="1"/>
  <c r="J653" i="1" a="1"/>
  <c r="J653" i="1" s="1"/>
</calcChain>
</file>

<file path=xl/sharedStrings.xml><?xml version="1.0" encoding="utf-8"?>
<sst xmlns="http://schemas.openxmlformats.org/spreadsheetml/2006/main" count="1337" uniqueCount="304">
  <si>
    <t>Customer Name</t>
  </si>
  <si>
    <t>Priority</t>
  </si>
  <si>
    <t>Customer Segment</t>
  </si>
  <si>
    <t>Technologies</t>
  </si>
  <si>
    <t>Existing Services</t>
  </si>
  <si>
    <t>Approximate Deal Size</t>
  </si>
  <si>
    <t>Customer Network Access</t>
  </si>
  <si>
    <t>Start Date</t>
  </si>
  <si>
    <t>Implementation Team</t>
  </si>
  <si>
    <t>NaC Score</t>
  </si>
  <si>
    <t>Architecture CDA/CE</t>
  </si>
  <si>
    <t>Theater CDA</t>
  </si>
  <si>
    <t>Theater CDA Leader</t>
  </si>
  <si>
    <t>NaC Parity Reviewer</t>
  </si>
  <si>
    <t>NaC Parity Complete</t>
  </si>
  <si>
    <t>NaC Parity Comments</t>
  </si>
  <si>
    <t>NaC Parity %</t>
  </si>
  <si>
    <t>Next Steps</t>
  </si>
  <si>
    <t>Status / Comments</t>
  </si>
  <si>
    <t>Headwinds</t>
  </si>
  <si>
    <t>Client ready for as code</t>
  </si>
  <si>
    <t>3M</t>
  </si>
  <si>
    <t>None</t>
  </si>
  <si>
    <t>GES-Central</t>
  </si>
  <si>
    <t>Cat-C/SDA</t>
  </si>
  <si>
    <t>No</t>
  </si>
  <si>
    <t>Birch Hansen (birhanse)</t>
  </si>
  <si>
    <t>Parity (raw): 0 | Controller access (survey): No</t>
  </si>
  <si>
    <t>AAFES</t>
  </si>
  <si>
    <t>GES-West</t>
  </si>
  <si>
    <t>Abe Basurto Reyes (abbasurt)</t>
  </si>
  <si>
    <t>Parity (raw): No direct access | Controller access (survey): No</t>
  </si>
  <si>
    <t>Abbvie</t>
  </si>
  <si>
    <t>SD-WAN</t>
  </si>
  <si>
    <t>Yes</t>
  </si>
  <si>
    <t>Freddy Morales (fremoral)</t>
  </si>
  <si>
    <t>Parity (raw): 100 | Report: https://cisco-my.sharepoint.com/personal/dhprajap_cisco_com/Documents/Apps/Microsoft%20Forms/Customer%20NaC%20Parity%20Database/Question/sdwan-report-Abbvie_Freddy%20Morales.pdf | Controller access (survey): Yes</t>
  </si>
  <si>
    <t>ADP</t>
  </si>
  <si>
    <t>GES-East</t>
  </si>
  <si>
    <t>Alex Guckin (aguckin)</t>
  </si>
  <si>
    <t>Alcon</t>
  </si>
  <si>
    <t>Amna Ali (amnali)</t>
  </si>
  <si>
    <t>Parity (raw): I don't have direct access to the customer's Controllers. | Controller access (survey): No</t>
  </si>
  <si>
    <t>Ameriprise</t>
  </si>
  <si>
    <t>Autozone</t>
  </si>
  <si>
    <t>PDI</t>
  </si>
  <si>
    <t>$100,000-$500,000</t>
  </si>
  <si>
    <t>1 Month</t>
  </si>
  <si>
    <t>Migration</t>
  </si>
  <si>
    <t>Amod Augustin</t>
  </si>
  <si>
    <t>Parity exercise not completed</t>
  </si>
  <si>
    <t>Bank of America</t>
  </si>
  <si>
    <t>High</t>
  </si>
  <si>
    <t>GES-Premier</t>
  </si>
  <si>
    <t>BCS/LCS</t>
  </si>
  <si>
    <t>&gt;$1M</t>
  </si>
  <si>
    <t>3 Months</t>
  </si>
  <si>
    <t>Lei Tian</t>
  </si>
  <si>
    <t>Cigna</t>
  </si>
  <si>
    <t>Low</t>
  </si>
  <si>
    <t>6 Months</t>
  </si>
  <si>
    <t>Customer</t>
  </si>
  <si>
    <t>ACI</t>
  </si>
  <si>
    <t>Costco</t>
  </si>
  <si>
    <t>Theater</t>
  </si>
  <si>
    <t>Sinan Asig, Derek Chu,Nikolai Vollmer</t>
  </si>
  <si>
    <t>Natambu Obleton</t>
  </si>
  <si>
    <t>Stewart Tan</t>
  </si>
  <si>
    <t>Sinan Asig (sasig)</t>
  </si>
  <si>
    <t>Parity (raw): 100% | Report: https://cisco-my.sharepoint.com/personal/dhprajap_cisco_com/_layouts/15/Doc.aspx?sourcedoc=%7BFEB51745-D85F-4D24-8B36-123C8C041E3D%7D&amp;file=Doc2_Sinan%20Asig.docx&amp;action=default&amp;mobileredirect=true | Controller access (survey): Yes</t>
  </si>
  <si>
    <t>SDWANasCode demos completed, customer interest in there. Next steps are discovery workshop for APAC region as-code MRF deployment.</t>
  </si>
  <si>
    <t>CVS Pharmacy</t>
  </si>
  <si>
    <t>CMS</t>
  </si>
  <si>
    <t>Identify New</t>
  </si>
  <si>
    <t>Meraki</t>
  </si>
  <si>
    <t>Lee Sudduth (new)</t>
  </si>
  <si>
    <t>CVS Pharmacy - TLM</t>
  </si>
  <si>
    <t>Karthik Prabanahdhan</t>
  </si>
  <si>
    <t>DELTA</t>
  </si>
  <si>
    <t>$500,000-$1M</t>
  </si>
  <si>
    <t>Oliver Jancevski, Zulfi Anees</t>
  </si>
  <si>
    <t>Vikas Bhadola</t>
  </si>
  <si>
    <t>DTCC</t>
  </si>
  <si>
    <t>NDFC</t>
  </si>
  <si>
    <t>Matt Horn</t>
  </si>
  <si>
    <t>Nikolai Vollmer</t>
  </si>
  <si>
    <t>Fannie Mae</t>
  </si>
  <si>
    <t>SME/SAS</t>
  </si>
  <si>
    <t>ISE</t>
  </si>
  <si>
    <t>Ramcharan Arya</t>
  </si>
  <si>
    <t>Fidelity</t>
  </si>
  <si>
    <t>Daniel Brooker (dabrooke)</t>
  </si>
  <si>
    <t>Parity (raw): 0% | Controller access (survey): No</t>
  </si>
  <si>
    <t>FISERV</t>
  </si>
  <si>
    <t>Rinku Mahecha</t>
  </si>
  <si>
    <t>Rowena Sequeira</t>
  </si>
  <si>
    <t>Tim Blanchard</t>
  </si>
  <si>
    <t>Ford</t>
  </si>
  <si>
    <t>Matthew Cobb</t>
  </si>
  <si>
    <t>GlobalFoundries</t>
  </si>
  <si>
    <t>Liberty Mutual</t>
  </si>
  <si>
    <t>Marshfield</t>
  </si>
  <si>
    <t>Partner</t>
  </si>
  <si>
    <t>Stuart Higgins/David Nolasco</t>
  </si>
  <si>
    <t>Stuart Higgins/Dean Delany</t>
  </si>
  <si>
    <t>IOS-XE</t>
  </si>
  <si>
    <t>Stuart Higgins/Anupam Dey</t>
  </si>
  <si>
    <t>Merck</t>
  </si>
  <si>
    <t>Jeff Phillips, Zahir Shivji</t>
  </si>
  <si>
    <t>Saurabh Sharma</t>
  </si>
  <si>
    <t>MetLife</t>
  </si>
  <si>
    <t>MGB</t>
  </si>
  <si>
    <t>Clark Dyson</t>
  </si>
  <si>
    <t>Dave Lucas</t>
  </si>
  <si>
    <t>Thomas Dunteman</t>
  </si>
  <si>
    <t>Dave Lucas / Khurram Masood</t>
  </si>
  <si>
    <t>Haibin Zhou (haizhou)</t>
  </si>
  <si>
    <t>Parity (raw): 58.7 | Report: https://cisco-my.sharepoint.com/personal/dhprajap_cisco_com/Documents/Apps/Microsoft%20Forms/Customer%20NaC%20Parity%20Database/Question/catc-report_Haibin%20Zhou.pdf</t>
  </si>
  <si>
    <t>NFCU</t>
  </si>
  <si>
    <t>James Dawkins</t>
  </si>
  <si>
    <t>NYCHHC</t>
  </si>
  <si>
    <t>Utkarsh Mahar</t>
  </si>
  <si>
    <t>FMC</t>
  </si>
  <si>
    <t>Pfizer</t>
  </si>
  <si>
    <t>Ramcharan Arya, James Dawkins</t>
  </si>
  <si>
    <t>PNC Bank</t>
  </si>
  <si>
    <t>2 Month</t>
  </si>
  <si>
    <t>Parity (raw): N/A | Controller access (survey): No</t>
  </si>
  <si>
    <t>Sanford Health</t>
  </si>
  <si>
    <t>Anupam Dey, Aslam Mohammad</t>
  </si>
  <si>
    <t>Pranav Patel, Jagadesh Nagaraj</t>
  </si>
  <si>
    <t>SMBC</t>
  </si>
  <si>
    <t>Takeda</t>
  </si>
  <si>
    <t>Sultan Ahmad</t>
  </si>
  <si>
    <t>The Home Depot</t>
  </si>
  <si>
    <t>&lt;$100,000</t>
  </si>
  <si>
    <t>Matt Coy, Jeff Hill, Syed Hasan</t>
  </si>
  <si>
    <t>Jeffery Hill (jeffhi)</t>
  </si>
  <si>
    <t>Parity (raw): 100 | Report: https://cisco-my.sharepoint.com/personal/dhprajap_cisco_com/Documents/Apps/Microsoft%20Forms/Customer%20NaC%20Parity%20Database/Question/sdwan-report_thd_ol4_Jeffery%20Hill.pdf | Controller access (survey): Yes</t>
  </si>
  <si>
    <t>UMMS</t>
  </si>
  <si>
    <t>9 Months</t>
  </si>
  <si>
    <t>MGM</t>
  </si>
  <si>
    <t>Demo to customer in Jan 2026</t>
  </si>
  <si>
    <t>SaaC deployed in lab enviroment and in testing. CX is recommending using it for Patch10 upgrade</t>
  </si>
  <si>
    <t>Humana</t>
  </si>
  <si>
    <t>State Street</t>
  </si>
  <si>
    <t>Jim Phillipo</t>
  </si>
  <si>
    <t>Truist</t>
  </si>
  <si>
    <t>IBM</t>
  </si>
  <si>
    <t>IOS-XR</t>
  </si>
  <si>
    <t>NX-OS</t>
  </si>
  <si>
    <t>Nationwide</t>
  </si>
  <si>
    <t>• 1.12.26 - SB "Nationwide: they will be going to 17.15 with a plan for UX2.0.  In addition, the primary engineer at NW has interest in As Code since they already use IaC for ACI, so we will be having discussions and evaluating the feasibility for SDWAN as Code.
• 1.26.26 - SB "Nationwide: Based on feedback from NW management and their success with IaC for ACI, it looks promising that we will have a SDWAN as code migration.  There is an internal call scheduled next week with myself and the account/delivery team to discuss the opportunity.
• 2.2.26 - SB "had the internal meeting to discus NaC at NW. The account team plans on drafting up a quote for SDWAN services as code. In the meantime I will continue to engage with NW presenting the benefits of NaC and possibly a demo"</t>
  </si>
  <si>
    <t>Carrier</t>
  </si>
  <si>
    <t>• 2.16.26 - AS "Carrier – “SDWAN as Code” internal discussion. Align internally on SDWAN-as-Code approach and prepare proposal options for Carrier.
 • Identified 3 possible offerings/approaches.
 • Antonio (PM) to help schedule internal review with Cisco architect before presenting to customer.
 • Internal SME sync scheduled Fri 2/13 (11:30–12:15).
Update:
Participated in the internal sync on Feb 11 to align on the SD-WAN as Code strategy for Carrier. Focused on preparing for customer inquiries regarding benefits and the learning curve. We are collaborating with Raul Gomez to leverage EMEA success stories and identify training boot camps to support this initiative. PM Daniel Reyes Moran will ensure that the team is prepared to present the new solution during the upcoming QBR (TBD).</t>
  </si>
  <si>
    <t>Amex</t>
  </si>
  <si>
    <t>CommonSpirit Health</t>
  </si>
  <si>
    <t>Limited engagement helping them implement ACI-as-Code.  Goal is to get a funded engagmenet with them long-term</t>
  </si>
  <si>
    <t>Lei Tian (letian)</t>
  </si>
  <si>
    <t>Parity (raw): 100% | Controller access (survey): Yes</t>
  </si>
  <si>
    <t>Leveraging LCS engagement to move sites from one vManage domain to another.</t>
  </si>
  <si>
    <t>SalesForce</t>
  </si>
  <si>
    <t>Positioning ISE as code for on-prem to cloud.  Moving away from VMWARE to AWS/Azure</t>
  </si>
  <si>
    <t>Targeting Workshop with CXTM to discuss capabilities and understand their requirements</t>
  </si>
  <si>
    <t>Schwab</t>
  </si>
  <si>
    <t xml:space="preserve">we are using it for code upgrade process and pre and post checks. </t>
  </si>
  <si>
    <t>Pepsi</t>
  </si>
  <si>
    <t>In Discussions on SaC</t>
  </si>
  <si>
    <t>Southern Cal Edison</t>
  </si>
  <si>
    <t>Early discussions on evaluating as-Code for Cat Center.  Not an SDA shop</t>
  </si>
  <si>
    <t>Exepdia</t>
  </si>
  <si>
    <t>Customer interested in doing NaC themselves.  CX providing info, but no active pursuit at this time</t>
  </si>
  <si>
    <t>Gilead Sciences</t>
  </si>
  <si>
    <t>Patrick Teague (pateague)</t>
  </si>
  <si>
    <t>Parity (raw): 100 | Report: https://cisco-my.sharepoint.com/personal/dhprajap_cisco_com/Documents/Apps/Microsoft%20Forms/Customer%20NaC%20Parity%20Database/Question/sdwan-report_Patrick%20Teague.pdf</t>
  </si>
  <si>
    <t>Montefiore</t>
  </si>
  <si>
    <t>Parity (raw): API Coverage: 100.0% Data Coverage: 100.0% | Report: https://cisco-my.sharepoint.com/personal/dhprajap_cisco_com/Documents/Apps/Microsoft%20Forms/Customer%20NaC%20Parity%20Database/Question/catc-report_Daniel%20Brooker.pdf</t>
  </si>
  <si>
    <t>MGB Cluster1</t>
  </si>
  <si>
    <t>Parity (raw): 100% | Report: https://cisco-my.sharepoint.com/personal/dhprajap_cisco_com/Documents/Apps/Microsoft%20Forms/Customer%20NaC%20Parity%20Database/Question/catc-report_Haibin%20Zhou%201.pdf</t>
  </si>
  <si>
    <t>Carrier Corporation</t>
  </si>
  <si>
    <t>Faraz Shamim (sshamim)</t>
  </si>
  <si>
    <t>Parity (raw): 100% | Report: https://cisco-my.sharepoint.com/personal/dhprajap_cisco_com/Documents/Apps/Microsoft%20Forms/Customer%20NaC%20Parity%20Database/Question/sdwan-report-carrier_Faraz%20Shamim.pdf</t>
  </si>
  <si>
    <t>Fidelity FIS</t>
  </si>
  <si>
    <t>Parity (raw): 100% | Report: https://cisco-my.sharepoint.com/personal/dhprajap_cisco_com/Documents/Apps/Microsoft%20Forms/Customer%20NaC%20Parity%20Database/Question/sdwan-report-fis_Faraz%20Shamim.pdf</t>
  </si>
  <si>
    <t>United Airlines</t>
  </si>
  <si>
    <t>Parity (raw): 100% | Report: https://cisco-my.sharepoint.com/personal/dhprajap_cisco_com/Documents/Apps/Microsoft%20Forms/Customer%20NaC%20Parity%20Database/Question/sdwan-report-united_Faraz%20Shamim.pdf</t>
  </si>
  <si>
    <t>Delta Airlines</t>
  </si>
  <si>
    <t>Parity (raw): 100% | Report: https://cisco-my.sharepoint.com/personal/dhprajap_cisco_com/Documents/Apps/Microsoft%20Forms/Customer%20NaC%20Parity%20Database/Question/sdwan-report-delta_Faraz%20Shamim.pdf</t>
  </si>
  <si>
    <t>CoX</t>
  </si>
  <si>
    <t>Derek Chu (derchu)</t>
  </si>
  <si>
    <t>Parity (raw): 100% | Report: https://cisco-my.sharepoint.com/personal/dhprajap_cisco_com/Documents/Apps/Microsoft%20Forms/Customer%20NaC%20Parity%20Database/Question/sdwan-report-cox_nac-parity_Derek%20Chu.pdf</t>
  </si>
  <si>
    <t>Huntington National Bank</t>
  </si>
  <si>
    <t>Scott Brinkerhoff (scbrinke)</t>
  </si>
  <si>
    <t>Parity (raw): 100 | Report: https://cisco-my.sharepoint.com/personal/dhprajap_cisco_com/Documents/Apps/Microsoft%20Forms/Customer%20NaC%20Parity%20Database/Question/HNB_sdwan-report_Scott%20Brinkerhoff.pdf</t>
  </si>
  <si>
    <t>KeyBank</t>
  </si>
  <si>
    <t>Parity (raw): 100 | Report: https://cisco-my.sharepoint.com/personal/dhprajap_cisco_com/Documents/Apps/Microsoft%20Forms/Customer%20NaC%20Parity%20Database/Question/KB_sdwan-report_Scott%20Brinkerhoff.pdf</t>
  </si>
  <si>
    <t>Mayo Clinic</t>
  </si>
  <si>
    <t>Parity (raw): 100 | Report: https://cisco-my.sharepoint.com/personal/dhprajap_cisco_com/Documents/Apps/Microsoft%20Forms/Customer%20NaC%20Parity%20Database/Question/mayo_sdwan-report_Scott%20Brinkerhoff.pdf</t>
  </si>
  <si>
    <t>THD SD-WAN (Overlay 1-4)</t>
  </si>
  <si>
    <t>Jacob Peracchio (jperacch)</t>
  </si>
  <si>
    <t>Parity (raw): OL 1-4: API: 100% Data: 100% | Report: https://cisco-my.sharepoint.com/personal/dhprajap_cisco_com/_layouts/15/Doc.aspx?sourcedoc=%7BE6FF775C-1A89-482B-A256-A316EB82FCC2%7D&amp;file=NAC%20Parity%20Check_Jacob%20Peracchio.docx&amp;action=default&amp;mobileredirect=true</t>
  </si>
  <si>
    <t>Tepper Sports &amp; Entertainment</t>
  </si>
  <si>
    <t>Kaseima Frye (kafrye)</t>
  </si>
  <si>
    <t>Parity (raw): 100% | Report: https://cisco-my.sharepoint.com/personal/dhprajap_cisco_com/Documents/Apps/Microsoft%20Forms/Customer%20NaC%20Parity%20Database/Question/catalystcenter-report_Kaseima%20Frye.pdf | Controller access (survey): Yes</t>
  </si>
  <si>
    <t>John Ryan - Test</t>
  </si>
  <si>
    <t>John Ryan (johnrya@cisco.com)</t>
  </si>
  <si>
    <t>L'Oreal</t>
  </si>
  <si>
    <t>Suzy Titton (stitton)</t>
  </si>
  <si>
    <t>Charter Enterprise</t>
  </si>
  <si>
    <t>Publix</t>
  </si>
  <si>
    <t>New York City Health and Hospitals</t>
  </si>
  <si>
    <t>Artem Surjko (asurjko)</t>
  </si>
  <si>
    <t>Morgan Stanley</t>
  </si>
  <si>
    <t>Yifang Zhuang (yizhuang)</t>
  </si>
  <si>
    <t>Wells Fargo</t>
  </si>
  <si>
    <t>Ken Fulmer (kefulmer)</t>
  </si>
  <si>
    <t>Southern California Edison</t>
  </si>
  <si>
    <t>Tim Roberts (timrober)</t>
  </si>
  <si>
    <t>General Motors, United Health Group, Deloitte, Costco, Amtrak and Commonwealth of Pennsylvania</t>
  </si>
  <si>
    <t>Mark Renzo (mrenzo)</t>
  </si>
  <si>
    <t>Shawn Leonard (shleonar)</t>
  </si>
  <si>
    <t>Carnival Cruises</t>
  </si>
  <si>
    <t>Ricard Badia (ribadia)</t>
  </si>
  <si>
    <t>State Street bank</t>
  </si>
  <si>
    <t>Jim Phillipo (jamphill)</t>
  </si>
  <si>
    <t>ExxonMobil</t>
  </si>
  <si>
    <t>Martin Tassi (martassi)</t>
  </si>
  <si>
    <t>Exelon</t>
  </si>
  <si>
    <t>Michael Stewart (mstewar2)</t>
  </si>
  <si>
    <t>Parity (raw): 100 | Report: https://cisco-my.sharepoint.com/personal/dhprajap_cisco_com/Documents/Apps/Microsoft%20Forms/Customer%20NaC%20Parity%20Database/Question/Exelon-sdwan-report_Michael%20Stewart.pdf | Controller access (survey): Yes</t>
  </si>
  <si>
    <t>Parity (raw): 0 | Controller access (survey): Yes</t>
  </si>
  <si>
    <t>Bank Of America, Cedars Sinai</t>
  </si>
  <si>
    <t>Sharan Shet (sharans@cisco.com)</t>
  </si>
  <si>
    <t>Parity (raw): NA | Controller access (survey): No</t>
  </si>
  <si>
    <t>Gilead</t>
  </si>
  <si>
    <t>Yi-Hung Chung (ychung)</t>
  </si>
  <si>
    <t>Parity (raw): 100% | Report: https://cisco-my.sharepoint.com/personal/dhprajap_cisco_com/Documents/Apps/Microsoft%20Forms/Customer%20NaC%20Parity%20Database/Question/Gilead_Sciences-CatC-Tokyo_JPAC-parity-report_Yi-Hung%20Chung.pdf; https://cisco-my.sharepoint.com/personal/dhprajap_cisco_com/Documents/Apps/Microsoft%20Forms/Customer%20NaC%20Parity%20Database/Question/Gilead_Sciences-CatC-London_EMEA-parity-repor_Yi-Hung%20Chung.pdf; https://cisco-my.sharepoint.com/personal/dhprajap_cisco_com/Documents/Apps/Microsoft%20Forms/Customer%20NaC%20Parity%20Database/Question/Gilead_Sciences-CatC-Ashburn-parity-report_Yi-Hung%20Chung.pdf; https://cisco-my.sharepoint.com/personal/dhprajap_cisco_com/Documents/Apps/Microsoft%20Forms/Customer%20NaC%20Parity%20Database/Question/Gilead_Sciences-CatC-SanJose-parity-report_Yi-Hung%20Chung.pdf | Controller access (survey): Yes</t>
  </si>
  <si>
    <t>HCA Healthcare</t>
  </si>
  <si>
    <t>Parity (raw): 100 | Report: https://cisco-my.sharepoint.com/personal/dhprajap_cisco_com/Documents/Apps/Microsoft%20Forms/Customer%20NaC%20Parity%20Database/Question/sdwan-report-HCA.md_Freddy%20Morales.pdf | Controller access (survey): Yes</t>
  </si>
  <si>
    <t>NYULH</t>
  </si>
  <si>
    <t>Micron</t>
  </si>
  <si>
    <t>Parity (raw): 100 | Report: https://cisco-my.sharepoint.com/personal/dhprajap_cisco_com/Documents/Apps/Microsoft%20Forms/Customer%20NaC%20Parity%20Database/Question/sdwan-report-Micron_Freddy%20Morales.pdf | Controller access (survey): Yes</t>
  </si>
  <si>
    <t>Blackrock</t>
  </si>
  <si>
    <t>TIAA</t>
  </si>
  <si>
    <t>Brett Rosenbrook (brosenbr)</t>
  </si>
  <si>
    <t>Parity (raw): No access | Controller access (survey): No</t>
  </si>
  <si>
    <t>British Telecom - Bristol Myers Squibb</t>
  </si>
  <si>
    <t>Sri Raghava Chennupati (chchennu)</t>
  </si>
  <si>
    <t>Parity (raw): 100 | Report: https://cisco-my.sharepoint.com/personal/dhprajap_cisco_com/Documents/Apps/Microsoft%20Forms/Customer%20NaC%20Parity%20Database/Question/BT-sdwan-report-prod_Sri%20Raghava%20Chennupa.pdf | Controller access (survey): Yes</t>
  </si>
  <si>
    <t>ICE -DHS (Department of Homeland Security)</t>
  </si>
  <si>
    <t>Mass General Brigham</t>
  </si>
  <si>
    <t>Clark Dyson (cldyson)</t>
  </si>
  <si>
    <t>Parity (raw): 100 | Report: https://cisco-my.sharepoint.com/personal/dhprajap_cisco_com/Documents/Apps/Microsoft%20Forms/Customer%20NaC%20Parity%20Database/Question/mgb-sdwan-report_Clark%20Dyson.pdf | Controller access (survey): Yes</t>
  </si>
  <si>
    <t>CDK Global</t>
  </si>
  <si>
    <t>Parity (raw): 100 | Report: https://cisco-my.sharepoint.com/personal/dhprajap_cisco_com/Documents/Apps/Microsoft%20Forms/Customer%20NaC%20Parity%20Database/Question/cdk-sdwan-report_Clark%20Dyson.pdf | Controller access (survey): Yes</t>
  </si>
  <si>
    <t>Commonspirit</t>
  </si>
  <si>
    <t>Mahim Hingorani (mahingorani)</t>
  </si>
  <si>
    <t>Parity (raw): No Access | Controller access (survey): No</t>
  </si>
  <si>
    <t>Boeing</t>
  </si>
  <si>
    <t>Mahim Hingorani (mahingor)</t>
  </si>
  <si>
    <t>BNY</t>
  </si>
  <si>
    <t>Parity (raw): Error in collection (Reached out to Mikey) | Controller access (survey): Yes</t>
  </si>
  <si>
    <t>Charles Schwab</t>
  </si>
  <si>
    <t>HCA</t>
  </si>
  <si>
    <t>Jacky Ball</t>
  </si>
  <si>
    <t>Parity (raw): 100 | Report: https://cisco-my.sharepoint.com/personal/dhprajap_cisco_com/Documents/Apps/Microsoft%20Forms/Customer%20NaC%20Parity%20Database/Question/Cap_catalystcenter-report_Jacky%20Ball.pdf; https://cisco-my.sharepoint.com/personal/dhprajap_cisco_com/Documents/Apps/Microsoft%20Forms/Customer%20NaC%20Parity%20Database/Question/Efl_catalystcenter-report_Jacky%20Ball.pdf | Controller access (survey): Yes</t>
  </si>
  <si>
    <t>TransUnion</t>
  </si>
  <si>
    <t>Pacific Gas and Electric</t>
  </si>
  <si>
    <t>Jagadesh Nagaraj (jagadnag)</t>
  </si>
  <si>
    <t>Parity (raw): We are waiting to get access to the controller, it is still in POC | Controller access (survey): No</t>
  </si>
  <si>
    <t>MGB SVS Lab</t>
  </si>
  <si>
    <t>Thomas Dunteman (tduntema)</t>
  </si>
  <si>
    <t>Parity (raw): 58 | Report: https://cisco-my.sharepoint.com/personal/dhprajap_cisco_com/Documents/Apps/Microsoft%20Forms/Customer%20NaC%20Parity%20Database/Question/MGB%20SVS%20Lab%20nac-parity_Thomas%20Dunteman.pdf | Controller access (survey): Yes</t>
  </si>
  <si>
    <t>MGB Cluster 2</t>
  </si>
  <si>
    <t>Parity (raw): 61.7 | Report: https://cisco-my.sharepoint.com/personal/dhprajap_cisco_com/Documents/Apps/Microsoft%20Forms/Customer%20NaC%20Parity%20Database/Question/MGB%20Cluster%202%20nac-parity_Thomas%20Dunteman.pdf | Controller access (survey): Yes</t>
  </si>
  <si>
    <t>Static pivot-style summaries (rebuilt each merge; filter/sort in Excel).</t>
  </si>
  <si>
    <t>Customer × Technology — row counts</t>
  </si>
  <si>
    <t>(blank)</t>
  </si>
  <si>
    <t>Customer Segment × NaC Parity Complete — row counts (Yes/No/Other)</t>
  </si>
  <si>
    <t>Other</t>
  </si>
  <si>
    <t>NaC readiness — governance views (refresh when workbook is merged).</t>
  </si>
  <si>
    <t>Chart ranges: see Governance_Data.</t>
  </si>
  <si>
    <t>cust_segment</t>
  </si>
  <si>
    <t>tech</t>
  </si>
  <si>
    <t>ext_svc</t>
  </si>
  <si>
    <t>deal_size</t>
  </si>
  <si>
    <t>net_access</t>
  </si>
  <si>
    <t>start_date</t>
  </si>
  <si>
    <t>impl_team</t>
  </si>
  <si>
    <t>priority</t>
  </si>
  <si>
    <t>category</t>
  </si>
  <si>
    <t>value</t>
  </si>
  <si>
    <t>score</t>
  </si>
  <si>
    <t>Partner-Led</t>
  </si>
  <si>
    <t>1 Year</t>
  </si>
  <si>
    <t>Multiple</t>
  </si>
  <si>
    <t>Source data for governance charts (regenerate via merge script).</t>
  </si>
  <si>
    <t>NaC Parity Complete — all customer × technology rows</t>
  </si>
  <si>
    <t>Status</t>
  </si>
  <si>
    <t>Count</t>
  </si>
  <si>
    <t>By technology (top 15 by row count)</t>
  </si>
  <si>
    <t>Dimension</t>
  </si>
  <si>
    <t>(unknown)</t>
  </si>
  <si>
    <t>By customer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</si>
</sst>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2"/>
      <color theme="1"/>
      <name val="CiscoSansTTLight"/>
      <family val="2"/>
    </font>
    <font>
      <b/>
      <sz val="12"/>
      <color theme="0"/>
      <name val="CiscoSansTT"/>
      <family val="2"/>
    </font>
    <font>
      <sz val="12"/>
      <name val="CiscoSansTTLight"/>
      <family val="2"/>
    </font>
    <font>
      <sz val="12"/>
      <color rgb="FFFF0000"/>
      <name val="CiscoSansTTLight"/>
    </font>
    <font>
      <sz val="12"/>
      <color rgb="FFFF0000"/>
      <name val="CiscoSansTTLight"/>
      <family val="2"/>
    </font>
    <font>
      <sz val="12"/>
      <color theme="1"/>
      <name val="CiscoSansTT Light"/>
      <family val="2"/>
    </font>
    <font>
      <sz val="12"/>
      <color theme="1"/>
      <name val="CiscoSansTTLight"/>
      <family val="2"/>
    </font>
  </fonts>
  <fills count="5">
    <fill>
      <patternFill patternType="none"/>
    </fill>
    <fill>
      <patternFill patternType="gray125"/>
    </fill>
    <fill>
      <patternFill patternType="solid">
        <fgColor theme="7"/>
        <bgColor indexed="64"/>
      </patternFill>
    </fill>
    <fill>
      <patternFill patternType="solid">
        <fgColor rgb="FF002060"/>
        <bgColor indexed="64"/>
      </patternFill>
    </fill>
    <fill>
      <patternFill patternType="solid">
        <fgColor rgb="FFFFFF00"/>
        <bgColor indexed="64"/>
      </patternFill>
    </fill>
  </fills>
  <borders count="1">
    <border>
      <left/>
      <right/>
      <top/>
      <bottom/>
      <diagonal/>
    </border>
  </borders>
  <cellStyleXfs count="2">
    <xf numFmtId="0" fontId="0" fillId="0" borderId="0"/>
    <xf numFmtId="9" fontId="6" fillId="0" borderId="0"/>
  </cellStyleXfs>
  <cellXfs count="18">
    <xf numFmtId="0" fontId="0" fillId="0" borderId="0" xfId="0"/>
    <xf numFmtId="0" fontId="0" fillId="0" borderId="0" xfId="0" applyAlignment="1">
      <alignment horizontal="center" vertical="center" wrapText="1"/>
    </xf>
    <xf numFmtId="0" fontId="1" fillId="2" borderId="0" xfId="0" applyFont="1" applyFill="1" applyAlignment="1">
      <alignment horizontal="center" vertical="center" wrapText="1"/>
    </xf>
    <xf numFmtId="1" fontId="0" fillId="0" borderId="0" xfId="0" applyNumberFormat="1"/>
    <xf numFmtId="164" fontId="1" fillId="3" borderId="0" xfId="0" applyNumberFormat="1" applyFont="1" applyFill="1" applyAlignment="1">
      <alignment horizontal="center" vertical="center" wrapText="1"/>
    </xf>
    <xf numFmtId="164" fontId="0" fillId="0" borderId="0" xfId="0" applyNumberFormat="1" applyAlignment="1">
      <alignment horizontal="center"/>
    </xf>
    <xf numFmtId="0" fontId="2" fillId="0" borderId="0" xfId="0" applyFont="1"/>
    <xf numFmtId="0" fontId="2" fillId="0" borderId="0" xfId="0" applyFont="1" applyAlignment="1">
      <alignment horizontal="center"/>
    </xf>
    <xf numFmtId="0" fontId="0" fillId="4" borderId="0" xfId="0" applyFill="1"/>
    <xf numFmtId="0" fontId="3" fillId="0" borderId="0" xfId="0" applyFont="1"/>
    <xf numFmtId="0" fontId="4" fillId="0" borderId="0" xfId="0" applyFont="1"/>
    <xf numFmtId="0" fontId="0" fillId="0" borderId="0" xfId="0" applyAlignment="1">
      <alignment wrapText="1"/>
    </xf>
    <xf numFmtId="0" fontId="5" fillId="0" borderId="0" xfId="0" applyFont="1"/>
    <xf numFmtId="9" fontId="1" fillId="2" borderId="0" xfId="1" applyFont="1" applyFill="1" applyAlignment="1">
      <alignment horizontal="center" vertical="center" wrapText="1"/>
    </xf>
    <xf numFmtId="9" fontId="0" fillId="0" borderId="0" xfId="1" applyFont="1"/>
    <xf numFmtId="9" fontId="0" fillId="4" borderId="0" xfId="1" applyFont="1" applyFill="1"/>
    <xf numFmtId="49" fontId="0" fillId="0" borderId="0" xfId="0" applyNumberFormat="1"/>
    <xf numFmtId="9" fontId="0" fillId="0" borderId="0" xfId="0" applyNumberFormat="1"/>
  </cellXfs>
  <cellStyles count="2">
    <cellStyle name="Normal" xfId="0" builtinId="0"/>
    <cellStyle name="Percent" xfId="1" builtinId="5"/>
  </cellStyles>
  <dxfs count="4">
    <dxf>
      <font>
        <color theme="0"/>
      </font>
      <fill>
        <patternFill>
          <bgColor theme="6"/>
        </patternFill>
      </fill>
    </dxf>
    <dxf>
      <font>
        <color theme="0"/>
      </font>
      <fill>
        <patternFill>
          <bgColor rgb="FFFF0000"/>
        </patternFill>
      </fill>
    </dxf>
    <dxf>
      <numFmt numFmtId="1" formatCode="0"/>
    </dxf>
    <dxf>
      <font>
        <b/>
        <strike val="0"/>
        <condense val="0"/>
        <extend val="0"/>
        <outline val="0"/>
        <shadow val="0"/>
        <vertAlign val="baseline"/>
        <sz val="12"/>
        <color theme="0"/>
        <name val="CiscoSansTT"/>
        <family val="2"/>
      </font>
      <fill>
        <patternFill patternType="solid">
          <fgColor indexed="64"/>
          <bgColor theme="7"/>
        </patternFill>
      </fill>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NaC Parity Complete — distribution (all rows)</a:t>
            </a:r>
          </a:p>
        </c:rich>
      </c:tx>
      <c:overlay val="1"/>
    </c:title>
    <c:autoTitleDeleted val="0"/>
    <c:plotArea>
      <c:layout/>
      <c:pieChart>
        <c:varyColors val="1"/>
        <c:ser>
          <c:idx val="0"/>
          <c:order val="0"/>
          <c:tx>
            <c:strRef>
              <c:f>Governance_Data!$B$4</c:f>
              <c:strCache>
                <c:ptCount val="1"/>
                <c:pt idx="0">
                  <c:v>Count</c:v>
                </c:pt>
              </c:strCache>
            </c:strRef>
          </c:tx>
          <c:spPr>
            <a:ln>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Governance_Data!$A$5:$A$7</c:f>
              <c:strCache>
                <c:ptCount val="3"/>
                <c:pt idx="0">
                  <c:v>Yes</c:v>
                </c:pt>
                <c:pt idx="1">
                  <c:v>No</c:v>
                </c:pt>
                <c:pt idx="2">
                  <c:v>Other</c:v>
                </c:pt>
              </c:strCache>
            </c:strRef>
          </c:cat>
          <c:val>
            <c:numRef>
              <c:f>Governance_Data!$B$5:$B$7</c:f>
              <c:numCache>
                <c:formatCode>General</c:formatCode>
                <c:ptCount val="3"/>
                <c:pt idx="0">
                  <c:v>28</c:v>
                </c:pt>
                <c:pt idx="1">
                  <c:v>70</c:v>
                </c:pt>
                <c:pt idx="2">
                  <c:v>47</c:v>
                </c:pt>
              </c:numCache>
            </c:numRef>
          </c:val>
          <c:extLst>
            <c:ext xmlns:c16="http://schemas.microsoft.com/office/drawing/2014/chart" uri="{C3380CC4-5D6E-409C-BE32-E72D297353CC}">
              <c16:uniqueId val="{00000000-740B-2340-B2AD-254DAAA1926D}"/>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NaC Parity Complete by technology (stacked)</a:t>
            </a:r>
          </a:p>
        </c:rich>
      </c:tx>
      <c:overlay val="1"/>
    </c:title>
    <c:autoTitleDeleted val="0"/>
    <c:plotArea>
      <c:layout/>
      <c:barChart>
        <c:barDir val="bar"/>
        <c:grouping val="stacked"/>
        <c:varyColors val="1"/>
        <c:ser>
          <c:idx val="0"/>
          <c:order val="0"/>
          <c:tx>
            <c:strRef>
              <c:f>Governance_Data!$B$11</c:f>
              <c:strCache>
                <c:ptCount val="1"/>
                <c:pt idx="0">
                  <c:v>Yes</c:v>
                </c:pt>
              </c:strCache>
            </c:strRef>
          </c:tx>
          <c:spPr>
            <a:ln>
              <a:prstDash val="solid"/>
            </a:ln>
          </c:spPr>
          <c:invertIfNegative val="1"/>
          <c:cat>
            <c:strRef>
              <c:f>Governance_Data!$A$12:$A$22</c:f>
              <c:strCache>
                <c:ptCount val="11"/>
                <c:pt idx="0">
                  <c:v>SD-WAN</c:v>
                </c:pt>
                <c:pt idx="1">
                  <c:v>Cat-C/SDA</c:v>
                </c:pt>
                <c:pt idx="2">
                  <c:v>ACI</c:v>
                </c:pt>
                <c:pt idx="3">
                  <c:v>ISE</c:v>
                </c:pt>
                <c:pt idx="4">
                  <c:v>NDFC</c:v>
                </c:pt>
                <c:pt idx="5">
                  <c:v>(unknown)</c:v>
                </c:pt>
                <c:pt idx="6">
                  <c:v>Meraki</c:v>
                </c:pt>
                <c:pt idx="7">
                  <c:v>IOS-XE</c:v>
                </c:pt>
                <c:pt idx="8">
                  <c:v>NX-OS</c:v>
                </c:pt>
                <c:pt idx="9">
                  <c:v>FMC</c:v>
                </c:pt>
                <c:pt idx="10">
                  <c:v>IOS-XR</c:v>
                </c:pt>
              </c:strCache>
            </c:strRef>
          </c:cat>
          <c:val>
            <c:numRef>
              <c:f>Governance_Data!$B$12:$B$22</c:f>
              <c:numCache>
                <c:formatCode>General</c:formatCode>
                <c:ptCount val="11"/>
                <c:pt idx="0">
                  <c:v>20</c:v>
                </c:pt>
                <c:pt idx="1">
                  <c:v>8</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4FFA-5146-9A41-7D5B6C257D8E}"/>
            </c:ext>
          </c:extLst>
        </c:ser>
        <c:ser>
          <c:idx val="1"/>
          <c:order val="1"/>
          <c:tx>
            <c:strRef>
              <c:f>Governance_Data!$C$11</c:f>
              <c:strCache>
                <c:ptCount val="1"/>
                <c:pt idx="0">
                  <c:v>No</c:v>
                </c:pt>
              </c:strCache>
            </c:strRef>
          </c:tx>
          <c:spPr>
            <a:ln>
              <a:prstDash val="solid"/>
            </a:ln>
          </c:spPr>
          <c:invertIfNegative val="1"/>
          <c:cat>
            <c:strRef>
              <c:f>Governance_Data!$A$12:$A$22</c:f>
              <c:strCache>
                <c:ptCount val="11"/>
                <c:pt idx="0">
                  <c:v>SD-WAN</c:v>
                </c:pt>
                <c:pt idx="1">
                  <c:v>Cat-C/SDA</c:v>
                </c:pt>
                <c:pt idx="2">
                  <c:v>ACI</c:v>
                </c:pt>
                <c:pt idx="3">
                  <c:v>ISE</c:v>
                </c:pt>
                <c:pt idx="4">
                  <c:v>NDFC</c:v>
                </c:pt>
                <c:pt idx="5">
                  <c:v>(unknown)</c:v>
                </c:pt>
                <c:pt idx="6">
                  <c:v>Meraki</c:v>
                </c:pt>
                <c:pt idx="7">
                  <c:v>IOS-XE</c:v>
                </c:pt>
                <c:pt idx="8">
                  <c:v>NX-OS</c:v>
                </c:pt>
                <c:pt idx="9">
                  <c:v>FMC</c:v>
                </c:pt>
                <c:pt idx="10">
                  <c:v>IOS-XR</c:v>
                </c:pt>
              </c:strCache>
            </c:strRef>
          </c:cat>
          <c:val>
            <c:numRef>
              <c:f>Governance_Data!$C$12:$C$22</c:f>
              <c:numCache>
                <c:formatCode>General</c:formatCode>
                <c:ptCount val="11"/>
                <c:pt idx="0">
                  <c:v>31</c:v>
                </c:pt>
                <c:pt idx="1">
                  <c:v>39</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4FFA-5146-9A41-7D5B6C257D8E}"/>
            </c:ext>
          </c:extLst>
        </c:ser>
        <c:ser>
          <c:idx val="2"/>
          <c:order val="2"/>
          <c:tx>
            <c:strRef>
              <c:f>Governance_Data!$D$11</c:f>
              <c:strCache>
                <c:ptCount val="1"/>
                <c:pt idx="0">
                  <c:v>Other</c:v>
                </c:pt>
              </c:strCache>
            </c:strRef>
          </c:tx>
          <c:spPr>
            <a:ln>
              <a:prstDash val="solid"/>
            </a:ln>
          </c:spPr>
          <c:invertIfNegative val="1"/>
          <c:cat>
            <c:strRef>
              <c:f>Governance_Data!$A$12:$A$22</c:f>
              <c:strCache>
                <c:ptCount val="11"/>
                <c:pt idx="0">
                  <c:v>SD-WAN</c:v>
                </c:pt>
                <c:pt idx="1">
                  <c:v>Cat-C/SDA</c:v>
                </c:pt>
                <c:pt idx="2">
                  <c:v>ACI</c:v>
                </c:pt>
                <c:pt idx="3">
                  <c:v>ISE</c:v>
                </c:pt>
                <c:pt idx="4">
                  <c:v>NDFC</c:v>
                </c:pt>
                <c:pt idx="5">
                  <c:v>(unknown)</c:v>
                </c:pt>
                <c:pt idx="6">
                  <c:v>Meraki</c:v>
                </c:pt>
                <c:pt idx="7">
                  <c:v>IOS-XE</c:v>
                </c:pt>
                <c:pt idx="8">
                  <c:v>NX-OS</c:v>
                </c:pt>
                <c:pt idx="9">
                  <c:v>FMC</c:v>
                </c:pt>
                <c:pt idx="10">
                  <c:v>IOS-XR</c:v>
                </c:pt>
              </c:strCache>
            </c:strRef>
          </c:cat>
          <c:val>
            <c:numRef>
              <c:f>Governance_Data!$D$12:$D$22</c:f>
              <c:numCache>
                <c:formatCode>General</c:formatCode>
                <c:ptCount val="11"/>
                <c:pt idx="0">
                  <c:v>0</c:v>
                </c:pt>
                <c:pt idx="1">
                  <c:v>0</c:v>
                </c:pt>
                <c:pt idx="2">
                  <c:v>10</c:v>
                </c:pt>
                <c:pt idx="3">
                  <c:v>9</c:v>
                </c:pt>
                <c:pt idx="4">
                  <c:v>7</c:v>
                </c:pt>
                <c:pt idx="5">
                  <c:v>6</c:v>
                </c:pt>
                <c:pt idx="6">
                  <c:v>5</c:v>
                </c:pt>
                <c:pt idx="7">
                  <c:v>3</c:v>
                </c:pt>
                <c:pt idx="8">
                  <c:v>3</c:v>
                </c:pt>
                <c:pt idx="9">
                  <c:v>2</c:v>
                </c:pt>
                <c:pt idx="10">
                  <c:v>2</c:v>
                </c:pt>
              </c:numCache>
            </c:numRef>
          </c:val>
          <c:extLst>
            <c:ext xmlns:c16="http://schemas.microsoft.com/office/drawing/2014/chart" uri="{C3380CC4-5D6E-409C-BE32-E72D297353CC}">
              <c16:uniqueId val="{00000002-4FFA-5146-9A41-7D5B6C257D8E}"/>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Row count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Technology</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NaC Parity Complete by customer segment (stacked)</a:t>
            </a:r>
          </a:p>
        </c:rich>
      </c:tx>
      <c:overlay val="1"/>
    </c:title>
    <c:autoTitleDeleted val="0"/>
    <c:plotArea>
      <c:layout/>
      <c:barChart>
        <c:barDir val="bar"/>
        <c:grouping val="stacked"/>
        <c:varyColors val="1"/>
        <c:ser>
          <c:idx val="0"/>
          <c:order val="0"/>
          <c:tx>
            <c:strRef>
              <c:f>Governance_Data!$B$26</c:f>
              <c:strCache>
                <c:ptCount val="1"/>
                <c:pt idx="0">
                  <c:v>Yes</c:v>
                </c:pt>
              </c:strCache>
            </c:strRef>
          </c:tx>
          <c:spPr>
            <a:ln>
              <a:prstDash val="solid"/>
            </a:ln>
          </c:spPr>
          <c:invertIfNegative val="1"/>
          <c:cat>
            <c:strRef>
              <c:f>Governance_Data!$A$27:$A$31</c:f>
              <c:strCache>
                <c:ptCount val="5"/>
                <c:pt idx="0">
                  <c:v>GES-East</c:v>
                </c:pt>
                <c:pt idx="1">
                  <c:v>(unknown)</c:v>
                </c:pt>
                <c:pt idx="2">
                  <c:v>GES-Premier</c:v>
                </c:pt>
                <c:pt idx="3">
                  <c:v>GES-West</c:v>
                </c:pt>
                <c:pt idx="4">
                  <c:v>GES-Central</c:v>
                </c:pt>
              </c:strCache>
            </c:strRef>
          </c:cat>
          <c:val>
            <c:numRef>
              <c:f>Governance_Data!$B$27:$B$31</c:f>
              <c:numCache>
                <c:formatCode>General</c:formatCode>
                <c:ptCount val="5"/>
                <c:pt idx="0">
                  <c:v>7</c:v>
                </c:pt>
                <c:pt idx="1">
                  <c:v>15</c:v>
                </c:pt>
                <c:pt idx="2">
                  <c:v>4</c:v>
                </c:pt>
                <c:pt idx="3">
                  <c:v>2</c:v>
                </c:pt>
                <c:pt idx="4">
                  <c:v>0</c:v>
                </c:pt>
              </c:numCache>
            </c:numRef>
          </c:val>
          <c:extLst>
            <c:ext xmlns:c16="http://schemas.microsoft.com/office/drawing/2014/chart" uri="{C3380CC4-5D6E-409C-BE32-E72D297353CC}">
              <c16:uniqueId val="{00000000-82D1-CD49-BF68-C8E2BC5A3F53}"/>
            </c:ext>
          </c:extLst>
        </c:ser>
        <c:ser>
          <c:idx val="1"/>
          <c:order val="1"/>
          <c:tx>
            <c:strRef>
              <c:f>Governance_Data!$C$26</c:f>
              <c:strCache>
                <c:ptCount val="1"/>
                <c:pt idx="0">
                  <c:v>No</c:v>
                </c:pt>
              </c:strCache>
            </c:strRef>
          </c:tx>
          <c:spPr>
            <a:ln>
              <a:prstDash val="solid"/>
            </a:ln>
          </c:spPr>
          <c:invertIfNegative val="1"/>
          <c:cat>
            <c:strRef>
              <c:f>Governance_Data!$A$27:$A$31</c:f>
              <c:strCache>
                <c:ptCount val="5"/>
                <c:pt idx="0">
                  <c:v>GES-East</c:v>
                </c:pt>
                <c:pt idx="1">
                  <c:v>(unknown)</c:v>
                </c:pt>
                <c:pt idx="2">
                  <c:v>GES-Premier</c:v>
                </c:pt>
                <c:pt idx="3">
                  <c:v>GES-West</c:v>
                </c:pt>
                <c:pt idx="4">
                  <c:v>GES-Central</c:v>
                </c:pt>
              </c:strCache>
            </c:strRef>
          </c:cat>
          <c:val>
            <c:numRef>
              <c:f>Governance_Data!$C$27:$C$31</c:f>
              <c:numCache>
                <c:formatCode>General</c:formatCode>
                <c:ptCount val="5"/>
                <c:pt idx="0">
                  <c:v>29</c:v>
                </c:pt>
                <c:pt idx="1">
                  <c:v>18</c:v>
                </c:pt>
                <c:pt idx="2">
                  <c:v>7</c:v>
                </c:pt>
                <c:pt idx="3">
                  <c:v>8</c:v>
                </c:pt>
                <c:pt idx="4">
                  <c:v>8</c:v>
                </c:pt>
              </c:numCache>
            </c:numRef>
          </c:val>
          <c:extLst>
            <c:ext xmlns:c16="http://schemas.microsoft.com/office/drawing/2014/chart" uri="{C3380CC4-5D6E-409C-BE32-E72D297353CC}">
              <c16:uniqueId val="{00000001-82D1-CD49-BF68-C8E2BC5A3F53}"/>
            </c:ext>
          </c:extLst>
        </c:ser>
        <c:ser>
          <c:idx val="2"/>
          <c:order val="2"/>
          <c:tx>
            <c:strRef>
              <c:f>Governance_Data!$D$26</c:f>
              <c:strCache>
                <c:ptCount val="1"/>
                <c:pt idx="0">
                  <c:v>Other</c:v>
                </c:pt>
              </c:strCache>
            </c:strRef>
          </c:tx>
          <c:spPr>
            <a:ln>
              <a:prstDash val="solid"/>
            </a:ln>
          </c:spPr>
          <c:invertIfNegative val="1"/>
          <c:cat>
            <c:strRef>
              <c:f>Governance_Data!$A$27:$A$31</c:f>
              <c:strCache>
                <c:ptCount val="5"/>
                <c:pt idx="0">
                  <c:v>GES-East</c:v>
                </c:pt>
                <c:pt idx="1">
                  <c:v>(unknown)</c:v>
                </c:pt>
                <c:pt idx="2">
                  <c:v>GES-Premier</c:v>
                </c:pt>
                <c:pt idx="3">
                  <c:v>GES-West</c:v>
                </c:pt>
                <c:pt idx="4">
                  <c:v>GES-Central</c:v>
                </c:pt>
              </c:strCache>
            </c:strRef>
          </c:cat>
          <c:val>
            <c:numRef>
              <c:f>Governance_Data!$D$27:$D$31</c:f>
              <c:numCache>
                <c:formatCode>General</c:formatCode>
                <c:ptCount val="5"/>
                <c:pt idx="0">
                  <c:v>24</c:v>
                </c:pt>
                <c:pt idx="1">
                  <c:v>3</c:v>
                </c:pt>
                <c:pt idx="2">
                  <c:v>12</c:v>
                </c:pt>
                <c:pt idx="3">
                  <c:v>7</c:v>
                </c:pt>
                <c:pt idx="4">
                  <c:v>1</c:v>
                </c:pt>
              </c:numCache>
            </c:numRef>
          </c:val>
          <c:extLst>
            <c:ext xmlns:c16="http://schemas.microsoft.com/office/drawing/2014/chart" uri="{C3380CC4-5D6E-409C-BE32-E72D297353CC}">
              <c16:uniqueId val="{00000002-82D1-CD49-BF68-C8E2BC5A3F5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Row count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Segment</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5760000" cy="396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2</xdr:row>
      <xdr:rowOff>0</xdr:rowOff>
    </xdr:from>
    <xdr:ext cx="6480000" cy="432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27</xdr:row>
      <xdr:rowOff>0</xdr:rowOff>
    </xdr:from>
    <xdr:ext cx="6480000" cy="396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inTable" displayName="MainTable" ref="A1:U1079">
  <autoFilter ref="A1:U1079" xr:uid="{00000000-0009-0000-0100-000001000000}">
    <filterColumn colId="2">
      <filters>
        <filter val="GES-West"/>
      </filters>
    </filterColumn>
    <filterColumn colId="14">
      <filters>
        <filter val="No"/>
      </filters>
    </filterColumn>
    <filterColumn colId="15">
      <filters>
        <filter val="Parity exercise not completed"/>
      </filters>
    </filterColumn>
  </autoFilter>
  <tableColumns count="21">
    <tableColumn id="1" xr3:uid="{00000000-0010-0000-0000-000001000000}" name="Customer Name"/>
    <tableColumn id="2" xr3:uid="{00000000-0010-0000-0000-000002000000}" name="Priority"/>
    <tableColumn id="3" xr3:uid="{00000000-0010-0000-0000-000003000000}" name="Customer Segment"/>
    <tableColumn id="4" xr3:uid="{00000000-0010-0000-0000-000004000000}" name="Technologies"/>
    <tableColumn id="5" xr3:uid="{00000000-0010-0000-0000-000005000000}" name="Existing Services"/>
    <tableColumn id="6" xr3:uid="{00000000-0010-0000-0000-000006000000}" name="Approximate Deal Size"/>
    <tableColumn id="7" xr3:uid="{00000000-0010-0000-0000-000007000000}" name="Customer Network Access"/>
    <tableColumn id="8" xr3:uid="{00000000-0010-0000-0000-000008000000}" name="Start Date"/>
    <tableColumn id="9" xr3:uid="{00000000-0010-0000-0000-000009000000}" name="Implementation Team"/>
    <tableColumn id="10" xr3:uid="{00000000-0010-0000-0000-00000A000000}" name="NaC Score"/>
    <tableColumn id="11" xr3:uid="{00000000-0010-0000-0000-00000B000000}" name="Architecture CDA/CE"/>
    <tableColumn id="12" xr3:uid="{00000000-0010-0000-0000-00000C000000}" name="Theater CDA"/>
    <tableColumn id="13" xr3:uid="{00000000-0010-0000-0000-00000D000000}" name="Theater CDA Leader"/>
    <tableColumn id="14" xr3:uid="{00000000-0010-0000-0000-00000E000000}" name="NaC Parity Reviewer"/>
    <tableColumn id="15" xr3:uid="{00000000-0010-0000-0000-00000F000000}" name="NaC Parity Complete"/>
    <tableColumn id="16" xr3:uid="{00000000-0010-0000-0000-000010000000}" name="NaC Parity Comments"/>
    <tableColumn id="17" xr3:uid="{00000000-0010-0000-0000-000011000000}" name="NaC Parity %"/>
    <tableColumn id="18" xr3:uid="{00000000-0010-0000-0000-000012000000}" name="Next Steps"/>
    <tableColumn id="19" xr3:uid="{00000000-0010-0000-0000-000013000000}" name="Status / Comments"/>
    <tableColumn id="20" xr3:uid="{00000000-0010-0000-0000-000014000000}" name="Headwinds"/>
    <tableColumn id="21" xr3:uid="{00000000-0010-0000-0000-000015000000}" name="Client ready for as 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fValues" displayName="RefValues" ref="B2:I13" totalsRowShown="0" headerRowDxfId="3">
  <autoFilter ref="B2:I13" xr:uid="{00000000-0009-0000-0100-000002000000}"/>
  <tableColumns count="8">
    <tableColumn id="1" xr3:uid="{00000000-0010-0000-0100-000001000000}" name="cust_segment"/>
    <tableColumn id="2" xr3:uid="{00000000-0010-0000-0100-000002000000}" name="tech"/>
    <tableColumn id="3" xr3:uid="{00000000-0010-0000-0100-000003000000}" name="ext_svc"/>
    <tableColumn id="4" xr3:uid="{00000000-0010-0000-0100-000004000000}" name="deal_size"/>
    <tableColumn id="5" xr3:uid="{00000000-0010-0000-0100-000005000000}" name="net_access"/>
    <tableColumn id="8" xr3:uid="{00000000-0010-0000-0100-000008000000}" name="start_date"/>
    <tableColumn id="7" xr3:uid="{00000000-0010-0000-0100-000007000000}" name="impl_team"/>
    <tableColumn id="6" xr3:uid="{00000000-0010-0000-0100-000006000000}" name="prior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fScore" displayName="RefScore" ref="K2:M42" totalsRowShown="0">
  <autoFilter ref="K2:M42" xr:uid="{00000000-0009-0000-0100-000003000000}"/>
  <tableColumns count="3">
    <tableColumn id="1" xr3:uid="{00000000-0010-0000-0200-000001000000}" name="category"/>
    <tableColumn id="2" xr3:uid="{00000000-0010-0000-0200-000002000000}" name="value"/>
    <tableColumn id="3" xr3:uid="{00000000-0010-0000-0200-000003000000}" name="scor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79"/>
  <sheetViews>
    <sheetView tabSelected="1" zoomScale="130" zoomScaleNormal="130" workbookViewId="0">
      <pane xSplit="4" topLeftCell="L1" activePane="topRight" state="frozen"/>
      <selection activeCell="A2" sqref="A2"/>
      <selection pane="topRight" activeCell="L1028" sqref="L1028"/>
    </sheetView>
  </sheetViews>
  <sheetFormatPr baseColWidth="10" defaultColWidth="11.5" defaultRowHeight="15" customHeight="1"/>
  <cols>
    <col min="1" max="1" width="22.33203125" customWidth="1"/>
    <col min="2" max="2" width="15.1640625" style="7" customWidth="1"/>
    <col min="3" max="3" width="18.5" customWidth="1"/>
    <col min="4" max="4" width="14" customWidth="1"/>
    <col min="5" max="5" width="16.5" customWidth="1"/>
    <col min="6" max="6" width="20.6640625" customWidth="1"/>
    <col min="7" max="7" width="15.1640625" customWidth="1"/>
    <col min="8" max="8" width="11.6640625" customWidth="1"/>
    <col min="9" max="9" width="15.5" customWidth="1"/>
    <col min="10" max="10" width="10.6640625" style="5" customWidth="1"/>
    <col min="11" max="16" width="31.33203125" customWidth="1"/>
    <col min="17" max="17" width="31.33203125" style="14" customWidth="1"/>
    <col min="18" max="18" width="52.6640625" customWidth="1"/>
    <col min="19" max="19" width="52.6640625" style="11" customWidth="1"/>
    <col min="20" max="20" width="28.83203125" customWidth="1"/>
    <col min="21" max="21" width="20.1640625" customWidth="1"/>
  </cols>
  <sheetData>
    <row r="1" spans="1:21" s="1" customFormat="1" ht="48" customHeight="1">
      <c r="A1" s="2" t="s">
        <v>0</v>
      </c>
      <c r="B1" s="2" t="s">
        <v>1</v>
      </c>
      <c r="C1" s="2" t="s">
        <v>2</v>
      </c>
      <c r="D1" s="2" t="s">
        <v>3</v>
      </c>
      <c r="E1" s="2" t="s">
        <v>4</v>
      </c>
      <c r="F1" s="2" t="s">
        <v>5</v>
      </c>
      <c r="G1" s="2" t="s">
        <v>6</v>
      </c>
      <c r="H1" s="2" t="s">
        <v>7</v>
      </c>
      <c r="I1" s="2" t="s">
        <v>8</v>
      </c>
      <c r="J1" s="4" t="s">
        <v>9</v>
      </c>
      <c r="K1" s="2" t="s">
        <v>10</v>
      </c>
      <c r="L1" s="2" t="s">
        <v>11</v>
      </c>
      <c r="M1" s="2" t="s">
        <v>12</v>
      </c>
      <c r="N1" s="2" t="s">
        <v>13</v>
      </c>
      <c r="O1" s="2" t="s">
        <v>14</v>
      </c>
      <c r="P1" s="2" t="s">
        <v>15</v>
      </c>
      <c r="Q1" s="13" t="s">
        <v>16</v>
      </c>
      <c r="R1" s="2" t="s">
        <v>17</v>
      </c>
      <c r="S1" s="2" t="s">
        <v>18</v>
      </c>
      <c r="T1" s="2" t="s">
        <v>19</v>
      </c>
      <c r="U1" s="2" t="s">
        <v>20</v>
      </c>
    </row>
    <row r="2" spans="1:21" ht="16" hidden="1" customHeight="1">
      <c r="A2" s="6" t="s">
        <v>21</v>
      </c>
      <c r="B2" s="7" t="s">
        <v>22</v>
      </c>
      <c r="C2" t="s">
        <v>23</v>
      </c>
      <c r="D2" t="s">
        <v>24</v>
      </c>
      <c r="G2" t="s">
        <v>25</v>
      </c>
      <c r="J2" s="5" t="str">
        <f t="array" ref="J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2" s="16" t="s">
        <v>26</v>
      </c>
      <c r="O2" t="s">
        <v>25</v>
      </c>
      <c r="P2" t="s">
        <v>27</v>
      </c>
      <c r="Q2" s="14">
        <v>0</v>
      </c>
    </row>
    <row r="3" spans="1:21" ht="16" hidden="1" customHeight="1">
      <c r="A3" s="6" t="s">
        <v>28</v>
      </c>
      <c r="B3" s="7" t="s">
        <v>22</v>
      </c>
      <c r="C3" t="s">
        <v>29</v>
      </c>
      <c r="D3" t="s">
        <v>24</v>
      </c>
      <c r="G3" t="s">
        <v>25</v>
      </c>
      <c r="J3" s="5" t="str">
        <f t="array" ref="J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3" s="16" t="s">
        <v>30</v>
      </c>
      <c r="O3" t="s">
        <v>25</v>
      </c>
      <c r="P3" t="s">
        <v>31</v>
      </c>
      <c r="Q3" s="14">
        <v>0</v>
      </c>
    </row>
    <row r="4" spans="1:21" ht="16" hidden="1" customHeight="1">
      <c r="A4" s="6" t="s">
        <v>32</v>
      </c>
      <c r="B4" s="7" t="s">
        <v>22</v>
      </c>
      <c r="D4" t="s">
        <v>33</v>
      </c>
      <c r="G4" t="s">
        <v>34</v>
      </c>
      <c r="J4" s="5" t="str">
        <f t="array" ref="J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4" s="16" t="s">
        <v>35</v>
      </c>
      <c r="O4" t="s">
        <v>34</v>
      </c>
      <c r="P4" t="s">
        <v>36</v>
      </c>
      <c r="Q4" s="14">
        <v>1</v>
      </c>
    </row>
    <row r="5" spans="1:21" ht="16" hidden="1" customHeight="1">
      <c r="A5" s="6" t="s">
        <v>37</v>
      </c>
      <c r="B5" s="7" t="s">
        <v>22</v>
      </c>
      <c r="C5" t="s">
        <v>38</v>
      </c>
      <c r="D5" t="s">
        <v>24</v>
      </c>
      <c r="G5" t="s">
        <v>25</v>
      </c>
      <c r="J5" s="5" t="str">
        <f t="array" ref="J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5" s="16" t="s">
        <v>39</v>
      </c>
      <c r="O5" t="s">
        <v>25</v>
      </c>
      <c r="P5" t="s">
        <v>27</v>
      </c>
      <c r="Q5" s="14">
        <v>0</v>
      </c>
    </row>
    <row r="6" spans="1:21" ht="16" hidden="1" customHeight="1">
      <c r="A6" s="6" t="s">
        <v>40</v>
      </c>
      <c r="B6" s="7" t="s">
        <v>22</v>
      </c>
      <c r="D6" t="s">
        <v>33</v>
      </c>
      <c r="G6" t="s">
        <v>25</v>
      </c>
      <c r="J6" s="5" t="str">
        <f t="array" ref="J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6" s="16" t="s">
        <v>41</v>
      </c>
      <c r="O6" t="s">
        <v>25</v>
      </c>
      <c r="P6" t="s">
        <v>42</v>
      </c>
      <c r="Q6" s="14">
        <v>0</v>
      </c>
    </row>
    <row r="7" spans="1:21" ht="16" hidden="1" customHeight="1">
      <c r="A7" s="6" t="s">
        <v>43</v>
      </c>
      <c r="B7" s="7" t="s">
        <v>22</v>
      </c>
      <c r="C7" t="s">
        <v>23</v>
      </c>
      <c r="D7" t="s">
        <v>33</v>
      </c>
      <c r="G7" t="s">
        <v>25</v>
      </c>
      <c r="J7" s="5" t="str">
        <f t="array" ref="J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7" s="16" t="s">
        <v>26</v>
      </c>
      <c r="O7" t="s">
        <v>25</v>
      </c>
      <c r="P7" t="s">
        <v>27</v>
      </c>
      <c r="Q7" s="17">
        <v>0</v>
      </c>
    </row>
    <row r="8" spans="1:21" ht="16" hidden="1" customHeight="1">
      <c r="A8" s="6" t="s">
        <v>43</v>
      </c>
      <c r="B8" s="7" t="s">
        <v>22</v>
      </c>
      <c r="C8" t="s">
        <v>23</v>
      </c>
      <c r="D8" t="s">
        <v>24</v>
      </c>
      <c r="G8" t="s">
        <v>25</v>
      </c>
      <c r="J8" s="5" t="str">
        <f t="array" ref="J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8" s="16" t="s">
        <v>26</v>
      </c>
      <c r="O8" t="s">
        <v>25</v>
      </c>
      <c r="P8" t="s">
        <v>27</v>
      </c>
      <c r="Q8" s="17">
        <v>0</v>
      </c>
    </row>
    <row r="9" spans="1:21" ht="16" customHeight="1">
      <c r="A9" s="6" t="s">
        <v>44</v>
      </c>
      <c r="B9" s="7" t="s">
        <v>22</v>
      </c>
      <c r="C9" t="s">
        <v>29</v>
      </c>
      <c r="D9" t="s">
        <v>33</v>
      </c>
      <c r="E9" t="s">
        <v>45</v>
      </c>
      <c r="F9" t="s">
        <v>46</v>
      </c>
      <c r="G9" t="s">
        <v>34</v>
      </c>
      <c r="H9" t="s">
        <v>47</v>
      </c>
      <c r="I9" t="s">
        <v>48</v>
      </c>
      <c r="J9" s="5">
        <f t="array" ref="J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5.4285714285714288</v>
      </c>
      <c r="K9" t="s">
        <v>49</v>
      </c>
      <c r="O9" t="s">
        <v>25</v>
      </c>
      <c r="P9" t="s">
        <v>50</v>
      </c>
    </row>
    <row r="10" spans="1:21" ht="16" hidden="1" customHeight="1">
      <c r="A10" t="s">
        <v>51</v>
      </c>
      <c r="B10" s="7" t="s">
        <v>52</v>
      </c>
      <c r="C10" t="s">
        <v>53</v>
      </c>
      <c r="D10" t="s">
        <v>33</v>
      </c>
      <c r="E10" t="s">
        <v>54</v>
      </c>
      <c r="F10" t="s">
        <v>55</v>
      </c>
      <c r="G10" t="s">
        <v>34</v>
      </c>
      <c r="H10" t="s">
        <v>56</v>
      </c>
      <c r="I10" t="s">
        <v>48</v>
      </c>
      <c r="J10" s="5">
        <f t="array" ref="J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6.8571428571428568</v>
      </c>
      <c r="K10" t="s">
        <v>57</v>
      </c>
      <c r="O10" t="s">
        <v>25</v>
      </c>
      <c r="P10" t="s">
        <v>50</v>
      </c>
    </row>
    <row r="11" spans="1:21" ht="16" hidden="1" customHeight="1">
      <c r="A11" t="s">
        <v>58</v>
      </c>
      <c r="B11" s="7" t="s">
        <v>59</v>
      </c>
      <c r="C11" t="s">
        <v>38</v>
      </c>
      <c r="D11" t="s">
        <v>33</v>
      </c>
      <c r="E11" t="s">
        <v>22</v>
      </c>
      <c r="F11" t="s">
        <v>46</v>
      </c>
      <c r="G11" t="s">
        <v>25</v>
      </c>
      <c r="H11" t="s">
        <v>60</v>
      </c>
      <c r="I11" t="s">
        <v>61</v>
      </c>
      <c r="J11" s="5">
        <f t="array" ref="J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4.2857142857142856</v>
      </c>
      <c r="O11" t="s">
        <v>25</v>
      </c>
      <c r="P11" t="s">
        <v>50</v>
      </c>
    </row>
    <row r="12" spans="1:21" ht="16" hidden="1" customHeight="1">
      <c r="A12" t="s">
        <v>58</v>
      </c>
      <c r="B12" s="7" t="s">
        <v>59</v>
      </c>
      <c r="C12" t="s">
        <v>38</v>
      </c>
      <c r="D12" t="s">
        <v>24</v>
      </c>
      <c r="E12" t="s">
        <v>22</v>
      </c>
      <c r="F12" t="s">
        <v>46</v>
      </c>
      <c r="G12" t="s">
        <v>25</v>
      </c>
      <c r="H12" t="s">
        <v>60</v>
      </c>
      <c r="I12" t="s">
        <v>61</v>
      </c>
      <c r="J12" s="5">
        <f t="array" ref="J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v>
      </c>
      <c r="O12" t="s">
        <v>25</v>
      </c>
      <c r="P12" t="s">
        <v>50</v>
      </c>
    </row>
    <row r="13" spans="1:21" ht="16" hidden="1" customHeight="1">
      <c r="A13" t="s">
        <v>58</v>
      </c>
      <c r="B13" s="7" t="s">
        <v>59</v>
      </c>
      <c r="C13" t="s">
        <v>38</v>
      </c>
      <c r="D13" t="s">
        <v>62</v>
      </c>
      <c r="E13" t="s">
        <v>22</v>
      </c>
      <c r="F13" t="s">
        <v>46</v>
      </c>
      <c r="G13" t="s">
        <v>25</v>
      </c>
      <c r="H13" t="s">
        <v>60</v>
      </c>
      <c r="I13" t="s">
        <v>61</v>
      </c>
      <c r="J13" s="5">
        <f t="array" ref="J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4.2857142857142856</v>
      </c>
    </row>
    <row r="14" spans="1:21" ht="51" hidden="1" customHeight="1">
      <c r="A14" t="s">
        <v>63</v>
      </c>
      <c r="B14" s="7" t="s">
        <v>52</v>
      </c>
      <c r="C14" t="s">
        <v>29</v>
      </c>
      <c r="D14" t="s">
        <v>33</v>
      </c>
      <c r="E14" t="s">
        <v>54</v>
      </c>
      <c r="F14" t="s">
        <v>46</v>
      </c>
      <c r="G14" t="s">
        <v>34</v>
      </c>
      <c r="H14" t="s">
        <v>60</v>
      </c>
      <c r="I14" t="s">
        <v>64</v>
      </c>
      <c r="J14" s="5">
        <f t="array" ref="J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6.8571428571428568</v>
      </c>
      <c r="K14" t="s">
        <v>65</v>
      </c>
      <c r="L14" t="s">
        <v>66</v>
      </c>
      <c r="M14" t="s">
        <v>67</v>
      </c>
      <c r="N14" t="s">
        <v>68</v>
      </c>
      <c r="O14" t="s">
        <v>34</v>
      </c>
      <c r="P14" t="s">
        <v>69</v>
      </c>
      <c r="Q14" s="17">
        <v>1</v>
      </c>
      <c r="S14" s="11" t="s">
        <v>70</v>
      </c>
    </row>
    <row r="15" spans="1:21" ht="16" hidden="1" customHeight="1">
      <c r="A15" t="s">
        <v>71</v>
      </c>
      <c r="B15" s="7" t="s">
        <v>52</v>
      </c>
      <c r="C15" t="s">
        <v>53</v>
      </c>
      <c r="D15" t="s">
        <v>33</v>
      </c>
      <c r="E15" t="s">
        <v>54</v>
      </c>
      <c r="F15" t="s">
        <v>55</v>
      </c>
      <c r="G15" t="s">
        <v>34</v>
      </c>
      <c r="H15" t="s">
        <v>56</v>
      </c>
      <c r="I15" t="s">
        <v>72</v>
      </c>
      <c r="J15" s="5">
        <f t="array" ref="J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15" s="8" t="s">
        <v>73</v>
      </c>
      <c r="L15" s="8"/>
      <c r="M15" s="8"/>
      <c r="N15" s="8"/>
      <c r="O15" s="8" t="s">
        <v>25</v>
      </c>
      <c r="P15" s="8" t="s">
        <v>50</v>
      </c>
      <c r="Q15" s="15"/>
    </row>
    <row r="16" spans="1:21" ht="16" hidden="1" customHeight="1">
      <c r="A16" t="s">
        <v>71</v>
      </c>
      <c r="B16" s="7" t="s">
        <v>52</v>
      </c>
      <c r="C16" t="s">
        <v>53</v>
      </c>
      <c r="D16" t="s">
        <v>74</v>
      </c>
      <c r="E16" t="s">
        <v>54</v>
      </c>
      <c r="F16" t="s">
        <v>55</v>
      </c>
      <c r="G16" t="s">
        <v>34</v>
      </c>
      <c r="H16" t="s">
        <v>56</v>
      </c>
      <c r="I16" t="s">
        <v>72</v>
      </c>
      <c r="J16" s="5">
        <f t="array" ref="J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16" s="9" t="s">
        <v>75</v>
      </c>
    </row>
    <row r="17" spans="1:17" ht="16" hidden="1" customHeight="1">
      <c r="A17" t="s">
        <v>76</v>
      </c>
      <c r="B17" s="7" t="s">
        <v>52</v>
      </c>
      <c r="C17" t="s">
        <v>53</v>
      </c>
      <c r="D17" t="s">
        <v>24</v>
      </c>
      <c r="E17" t="s">
        <v>45</v>
      </c>
      <c r="F17" t="s">
        <v>55</v>
      </c>
      <c r="G17" t="s">
        <v>34</v>
      </c>
      <c r="H17" t="s">
        <v>56</v>
      </c>
      <c r="I17" t="s">
        <v>64</v>
      </c>
      <c r="J17" s="5">
        <f t="array" ref="J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6.8571428571428568</v>
      </c>
      <c r="K17" t="s">
        <v>77</v>
      </c>
      <c r="O17" t="s">
        <v>25</v>
      </c>
      <c r="P17" t="s">
        <v>50</v>
      </c>
    </row>
    <row r="18" spans="1:17" ht="16" hidden="1" customHeight="1">
      <c r="A18" t="s">
        <v>78</v>
      </c>
      <c r="B18" s="7" t="s">
        <v>52</v>
      </c>
      <c r="C18" t="s">
        <v>38</v>
      </c>
      <c r="D18" t="s">
        <v>24</v>
      </c>
      <c r="E18" t="s">
        <v>45</v>
      </c>
      <c r="F18" t="s">
        <v>79</v>
      </c>
      <c r="G18" t="s">
        <v>34</v>
      </c>
      <c r="H18" t="s">
        <v>56</v>
      </c>
      <c r="I18" t="s">
        <v>64</v>
      </c>
      <c r="J18" s="5">
        <f t="array" ref="J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18" t="s">
        <v>80</v>
      </c>
      <c r="L18" t="s">
        <v>81</v>
      </c>
      <c r="O18" t="s">
        <v>25</v>
      </c>
      <c r="P18" t="s">
        <v>50</v>
      </c>
    </row>
    <row r="19" spans="1:17" ht="16" hidden="1" customHeight="1">
      <c r="A19" t="s">
        <v>82</v>
      </c>
      <c r="B19" s="7" t="s">
        <v>52</v>
      </c>
      <c r="C19" t="s">
        <v>38</v>
      </c>
      <c r="D19" t="s">
        <v>83</v>
      </c>
      <c r="E19" t="s">
        <v>54</v>
      </c>
      <c r="F19" t="s">
        <v>46</v>
      </c>
      <c r="G19" t="s">
        <v>25</v>
      </c>
      <c r="H19" t="s">
        <v>60</v>
      </c>
      <c r="I19" t="s">
        <v>61</v>
      </c>
      <c r="J19" s="5">
        <f t="array" ref="J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L19" t="s">
        <v>84</v>
      </c>
    </row>
    <row r="20" spans="1:17" ht="16" hidden="1" customHeight="1">
      <c r="A20" t="s">
        <v>82</v>
      </c>
      <c r="B20" s="7" t="s">
        <v>52</v>
      </c>
      <c r="C20" t="s">
        <v>38</v>
      </c>
      <c r="D20" t="s">
        <v>33</v>
      </c>
      <c r="E20" t="s">
        <v>54</v>
      </c>
      <c r="F20" t="s">
        <v>46</v>
      </c>
      <c r="G20" t="s">
        <v>25</v>
      </c>
      <c r="H20" t="s">
        <v>60</v>
      </c>
      <c r="I20" t="s">
        <v>61</v>
      </c>
      <c r="J20" s="5">
        <f t="array" ref="J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K20" t="s">
        <v>85</v>
      </c>
      <c r="L20" t="s">
        <v>84</v>
      </c>
      <c r="O20" t="s">
        <v>25</v>
      </c>
      <c r="P20" t="s">
        <v>50</v>
      </c>
    </row>
    <row r="21" spans="1:17" ht="16" hidden="1" customHeight="1">
      <c r="A21" t="s">
        <v>86</v>
      </c>
      <c r="B21" s="7" t="s">
        <v>59</v>
      </c>
      <c r="C21" t="s">
        <v>38</v>
      </c>
      <c r="D21" t="s">
        <v>74</v>
      </c>
      <c r="E21" t="s">
        <v>87</v>
      </c>
      <c r="F21" t="s">
        <v>46</v>
      </c>
      <c r="G21" t="s">
        <v>25</v>
      </c>
      <c r="H21" t="s">
        <v>56</v>
      </c>
      <c r="I21" t="s">
        <v>61</v>
      </c>
      <c r="J21" s="5">
        <f t="array" ref="J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row>
    <row r="22" spans="1:17" ht="16" hidden="1" customHeight="1">
      <c r="A22" t="s">
        <v>86</v>
      </c>
      <c r="B22" s="7" t="s">
        <v>59</v>
      </c>
      <c r="C22" t="s">
        <v>38</v>
      </c>
      <c r="D22" t="s">
        <v>62</v>
      </c>
      <c r="E22" t="s">
        <v>87</v>
      </c>
      <c r="F22" t="s">
        <v>46</v>
      </c>
      <c r="G22" t="s">
        <v>25</v>
      </c>
      <c r="H22" t="s">
        <v>56</v>
      </c>
      <c r="I22" t="s">
        <v>61</v>
      </c>
      <c r="J22" s="5">
        <f t="array" ref="J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row>
    <row r="23" spans="1:17" ht="16" hidden="1" customHeight="1">
      <c r="A23" t="s">
        <v>86</v>
      </c>
      <c r="B23" s="7" t="s">
        <v>59</v>
      </c>
      <c r="C23" t="s">
        <v>38</v>
      </c>
      <c r="D23" t="s">
        <v>88</v>
      </c>
      <c r="E23" t="s">
        <v>87</v>
      </c>
      <c r="F23" t="s">
        <v>46</v>
      </c>
      <c r="G23" t="s">
        <v>25</v>
      </c>
      <c r="H23" t="s">
        <v>56</v>
      </c>
      <c r="I23" t="s">
        <v>61</v>
      </c>
      <c r="J23" s="5">
        <f t="array" ref="J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3.8571428571428572</v>
      </c>
    </row>
    <row r="24" spans="1:17" ht="16" hidden="1" customHeight="1">
      <c r="A24" t="s">
        <v>86</v>
      </c>
      <c r="B24" s="7" t="s">
        <v>59</v>
      </c>
      <c r="C24" t="s">
        <v>38</v>
      </c>
      <c r="D24" t="s">
        <v>83</v>
      </c>
      <c r="E24" t="s">
        <v>87</v>
      </c>
      <c r="F24" t="s">
        <v>46</v>
      </c>
      <c r="G24" t="s">
        <v>25</v>
      </c>
      <c r="H24" t="s">
        <v>56</v>
      </c>
      <c r="I24" t="s">
        <v>61</v>
      </c>
      <c r="J24" s="5">
        <f t="array" ref="J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row>
    <row r="25" spans="1:17" ht="16" hidden="1" customHeight="1">
      <c r="A25" t="s">
        <v>86</v>
      </c>
      <c r="B25" s="7" t="s">
        <v>59</v>
      </c>
      <c r="C25" t="s">
        <v>38</v>
      </c>
      <c r="D25" t="s">
        <v>33</v>
      </c>
      <c r="E25" t="s">
        <v>87</v>
      </c>
      <c r="F25" t="s">
        <v>46</v>
      </c>
      <c r="G25" t="s">
        <v>25</v>
      </c>
      <c r="H25" t="s">
        <v>56</v>
      </c>
      <c r="I25" t="s">
        <v>61</v>
      </c>
      <c r="J25" s="5">
        <f t="array" ref="J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c r="K25" t="s">
        <v>89</v>
      </c>
      <c r="O25" t="s">
        <v>25</v>
      </c>
      <c r="P25" t="s">
        <v>50</v>
      </c>
    </row>
    <row r="26" spans="1:17" ht="16" hidden="1" customHeight="1">
      <c r="A26" t="s">
        <v>90</v>
      </c>
      <c r="B26" s="7" t="s">
        <v>59</v>
      </c>
      <c r="C26" t="s">
        <v>38</v>
      </c>
      <c r="D26" t="s">
        <v>24</v>
      </c>
      <c r="E26" t="s">
        <v>45</v>
      </c>
      <c r="F26" t="s">
        <v>79</v>
      </c>
      <c r="G26" t="s">
        <v>34</v>
      </c>
      <c r="H26" t="s">
        <v>47</v>
      </c>
      <c r="I26" t="s">
        <v>64</v>
      </c>
      <c r="J26" s="5">
        <f t="array" ref="J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6.7142857142857144</v>
      </c>
      <c r="N26" t="s">
        <v>91</v>
      </c>
      <c r="O26" t="s">
        <v>25</v>
      </c>
      <c r="P26" t="s">
        <v>92</v>
      </c>
      <c r="Q26" s="17">
        <v>0</v>
      </c>
    </row>
    <row r="27" spans="1:17" ht="16" hidden="1" customHeight="1">
      <c r="A27" t="s">
        <v>93</v>
      </c>
      <c r="B27" s="7" t="s">
        <v>59</v>
      </c>
      <c r="C27" t="s">
        <v>38</v>
      </c>
      <c r="D27" t="s">
        <v>62</v>
      </c>
      <c r="E27" t="s">
        <v>54</v>
      </c>
      <c r="F27" t="s">
        <v>79</v>
      </c>
      <c r="G27" t="s">
        <v>34</v>
      </c>
      <c r="H27" t="s">
        <v>56</v>
      </c>
      <c r="I27" t="s">
        <v>64</v>
      </c>
      <c r="J27" s="5">
        <f t="array" ref="J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L27" t="s">
        <v>94</v>
      </c>
    </row>
    <row r="28" spans="1:17" ht="16" hidden="1" customHeight="1">
      <c r="A28" t="s">
        <v>93</v>
      </c>
      <c r="B28" s="7" t="s">
        <v>52</v>
      </c>
      <c r="C28" t="s">
        <v>38</v>
      </c>
      <c r="D28" t="s">
        <v>33</v>
      </c>
      <c r="E28" t="s">
        <v>54</v>
      </c>
      <c r="F28" t="s">
        <v>79</v>
      </c>
      <c r="G28" t="s">
        <v>34</v>
      </c>
      <c r="H28" t="s">
        <v>56</v>
      </c>
      <c r="I28" t="s">
        <v>64</v>
      </c>
      <c r="J28" s="5">
        <f t="array" ref="J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K28" t="s">
        <v>95</v>
      </c>
      <c r="L28" t="s">
        <v>94</v>
      </c>
      <c r="O28" t="s">
        <v>25</v>
      </c>
      <c r="P28" t="s">
        <v>50</v>
      </c>
    </row>
    <row r="29" spans="1:17" ht="16" hidden="1" customHeight="1">
      <c r="A29" t="s">
        <v>93</v>
      </c>
      <c r="B29" s="7" t="s">
        <v>52</v>
      </c>
      <c r="C29" t="s">
        <v>38</v>
      </c>
      <c r="D29" t="s">
        <v>83</v>
      </c>
      <c r="E29" t="s">
        <v>54</v>
      </c>
      <c r="F29" t="s">
        <v>79</v>
      </c>
      <c r="G29" t="s">
        <v>34</v>
      </c>
      <c r="H29" t="s">
        <v>56</v>
      </c>
      <c r="I29" t="s">
        <v>64</v>
      </c>
      <c r="J29" s="5">
        <f t="array" ref="J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K29" t="s">
        <v>96</v>
      </c>
      <c r="L29" t="s">
        <v>94</v>
      </c>
    </row>
    <row r="30" spans="1:17" ht="16" hidden="1" customHeight="1">
      <c r="A30" t="s">
        <v>97</v>
      </c>
      <c r="B30" s="7" t="s">
        <v>59</v>
      </c>
      <c r="C30" t="s">
        <v>53</v>
      </c>
      <c r="D30" t="s">
        <v>24</v>
      </c>
      <c r="E30" t="s">
        <v>54</v>
      </c>
      <c r="F30" t="s">
        <v>46</v>
      </c>
      <c r="G30" t="s">
        <v>34</v>
      </c>
      <c r="H30" t="s">
        <v>60</v>
      </c>
      <c r="I30" t="s">
        <v>61</v>
      </c>
      <c r="J30" s="5">
        <f t="array" ref="J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5.7142857142857144</v>
      </c>
      <c r="K30" t="s">
        <v>98</v>
      </c>
      <c r="O30" t="s">
        <v>25</v>
      </c>
      <c r="P30" t="s">
        <v>50</v>
      </c>
    </row>
    <row r="31" spans="1:17" ht="16" hidden="1" customHeight="1">
      <c r="A31" t="s">
        <v>99</v>
      </c>
      <c r="B31" s="7" t="s">
        <v>59</v>
      </c>
      <c r="C31" t="s">
        <v>38</v>
      </c>
      <c r="D31" t="s">
        <v>33</v>
      </c>
      <c r="E31" t="s">
        <v>54</v>
      </c>
      <c r="F31" t="s">
        <v>46</v>
      </c>
      <c r="G31" t="s">
        <v>25</v>
      </c>
      <c r="H31" t="s">
        <v>56</v>
      </c>
      <c r="I31" t="s">
        <v>64</v>
      </c>
      <c r="J31" s="5">
        <f t="array" ref="J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5.8571428571428568</v>
      </c>
      <c r="L31" t="s">
        <v>84</v>
      </c>
      <c r="O31" t="s">
        <v>25</v>
      </c>
      <c r="P31" t="s">
        <v>50</v>
      </c>
    </row>
    <row r="32" spans="1:17" ht="16" hidden="1" customHeight="1">
      <c r="A32" t="s">
        <v>99</v>
      </c>
      <c r="B32" s="7" t="s">
        <v>59</v>
      </c>
      <c r="C32" t="s">
        <v>38</v>
      </c>
      <c r="D32" t="s">
        <v>24</v>
      </c>
      <c r="E32" t="s">
        <v>54</v>
      </c>
      <c r="F32" t="s">
        <v>46</v>
      </c>
      <c r="G32" t="s">
        <v>25</v>
      </c>
      <c r="H32" t="s">
        <v>56</v>
      </c>
      <c r="I32" t="s">
        <v>64</v>
      </c>
      <c r="J32" s="5">
        <f t="array" ref="J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5.5714285714285712</v>
      </c>
      <c r="L32" t="s">
        <v>84</v>
      </c>
      <c r="O32" t="s">
        <v>25</v>
      </c>
      <c r="P32" t="s">
        <v>50</v>
      </c>
    </row>
    <row r="33" spans="1:17" ht="16" hidden="1" customHeight="1">
      <c r="A33" t="s">
        <v>99</v>
      </c>
      <c r="B33" s="7" t="s">
        <v>59</v>
      </c>
      <c r="C33" t="s">
        <v>38</v>
      </c>
      <c r="D33" t="s">
        <v>88</v>
      </c>
      <c r="E33" t="s">
        <v>54</v>
      </c>
      <c r="F33" t="s">
        <v>46</v>
      </c>
      <c r="G33" t="s">
        <v>25</v>
      </c>
      <c r="H33" t="s">
        <v>56</v>
      </c>
      <c r="I33" t="s">
        <v>64</v>
      </c>
      <c r="J33" s="5">
        <f t="array" ref="J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L33" t="s">
        <v>84</v>
      </c>
    </row>
    <row r="34" spans="1:17" ht="16" hidden="1" customHeight="1">
      <c r="A34" t="s">
        <v>100</v>
      </c>
      <c r="B34" s="7" t="s">
        <v>52</v>
      </c>
      <c r="C34" t="s">
        <v>38</v>
      </c>
      <c r="D34" t="s">
        <v>62</v>
      </c>
      <c r="E34" t="s">
        <v>72</v>
      </c>
      <c r="F34" t="s">
        <v>79</v>
      </c>
      <c r="G34" t="s">
        <v>34</v>
      </c>
      <c r="H34" t="s">
        <v>56</v>
      </c>
      <c r="I34" t="s">
        <v>72</v>
      </c>
      <c r="J34" s="5">
        <f t="array" ref="J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7.4285714285714288</v>
      </c>
      <c r="L34" t="s">
        <v>94</v>
      </c>
    </row>
    <row r="35" spans="1:17" ht="16" hidden="1" customHeight="1">
      <c r="A35" s="10" t="s">
        <v>101</v>
      </c>
      <c r="B35" s="7" t="s">
        <v>52</v>
      </c>
      <c r="C35" t="s">
        <v>23</v>
      </c>
      <c r="D35" t="s">
        <v>33</v>
      </c>
      <c r="E35" t="s">
        <v>45</v>
      </c>
      <c r="F35" t="s">
        <v>46</v>
      </c>
      <c r="G35" t="s">
        <v>34</v>
      </c>
      <c r="H35" t="s">
        <v>56</v>
      </c>
      <c r="I35" t="s">
        <v>102</v>
      </c>
      <c r="J35" s="5">
        <f t="array" ref="J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5.4285714285714288</v>
      </c>
      <c r="K35" t="s">
        <v>103</v>
      </c>
      <c r="O35" t="s">
        <v>25</v>
      </c>
      <c r="P35" t="s">
        <v>50</v>
      </c>
    </row>
    <row r="36" spans="1:17" ht="16" hidden="1" customHeight="1">
      <c r="A36" s="10" t="s">
        <v>101</v>
      </c>
      <c r="B36" s="7" t="s">
        <v>52</v>
      </c>
      <c r="C36" t="s">
        <v>23</v>
      </c>
      <c r="D36" t="s">
        <v>24</v>
      </c>
      <c r="E36" t="s">
        <v>45</v>
      </c>
      <c r="F36" t="s">
        <v>46</v>
      </c>
      <c r="G36" t="s">
        <v>34</v>
      </c>
      <c r="H36" t="s">
        <v>56</v>
      </c>
      <c r="I36" t="s">
        <v>102</v>
      </c>
      <c r="J36" s="5">
        <f t="array" ref="J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K36" t="s">
        <v>104</v>
      </c>
      <c r="O36" t="s">
        <v>25</v>
      </c>
      <c r="P36" t="s">
        <v>50</v>
      </c>
    </row>
    <row r="37" spans="1:17" ht="16" hidden="1" customHeight="1">
      <c r="A37" s="10" t="s">
        <v>101</v>
      </c>
      <c r="B37" s="7" t="s">
        <v>52</v>
      </c>
      <c r="C37" t="s">
        <v>23</v>
      </c>
      <c r="D37" t="s">
        <v>105</v>
      </c>
      <c r="E37" t="s">
        <v>45</v>
      </c>
      <c r="F37" t="s">
        <v>46</v>
      </c>
      <c r="G37" t="s">
        <v>34</v>
      </c>
      <c r="H37" t="s">
        <v>56</v>
      </c>
      <c r="I37" t="s">
        <v>102</v>
      </c>
      <c r="J37" s="5">
        <f t="array" ref="J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4.7142857142857144</v>
      </c>
      <c r="K37" t="s">
        <v>106</v>
      </c>
    </row>
    <row r="38" spans="1:17" ht="16" hidden="1" customHeight="1">
      <c r="A38" t="s">
        <v>107</v>
      </c>
      <c r="B38" s="7" t="s">
        <v>52</v>
      </c>
      <c r="C38" t="s">
        <v>38</v>
      </c>
      <c r="D38" t="s">
        <v>24</v>
      </c>
      <c r="E38" t="s">
        <v>54</v>
      </c>
      <c r="F38" t="s">
        <v>46</v>
      </c>
      <c r="G38" t="s">
        <v>25</v>
      </c>
      <c r="H38" t="s">
        <v>56</v>
      </c>
      <c r="I38" t="s">
        <v>61</v>
      </c>
      <c r="J38" s="5">
        <f t="array" ref="J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c r="K38" t="s">
        <v>108</v>
      </c>
      <c r="L38" t="s">
        <v>109</v>
      </c>
      <c r="O38" t="s">
        <v>25</v>
      </c>
      <c r="P38" t="s">
        <v>50</v>
      </c>
    </row>
    <row r="39" spans="1:17" ht="16" hidden="1" customHeight="1">
      <c r="A39" t="s">
        <v>107</v>
      </c>
      <c r="B39" s="7" t="s">
        <v>59</v>
      </c>
      <c r="C39" t="s">
        <v>38</v>
      </c>
      <c r="D39" t="s">
        <v>88</v>
      </c>
      <c r="E39" t="s">
        <v>54</v>
      </c>
      <c r="F39" t="s">
        <v>46</v>
      </c>
      <c r="G39" t="s">
        <v>25</v>
      </c>
      <c r="H39" t="s">
        <v>60</v>
      </c>
      <c r="I39" t="s">
        <v>61</v>
      </c>
      <c r="J39" s="5">
        <f t="array" ref="J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4.4285714285714288</v>
      </c>
      <c r="L39" t="s">
        <v>109</v>
      </c>
    </row>
    <row r="40" spans="1:17" ht="16" hidden="1" customHeight="1">
      <c r="A40" t="s">
        <v>110</v>
      </c>
      <c r="B40" s="7" t="s">
        <v>59</v>
      </c>
      <c r="C40" t="s">
        <v>38</v>
      </c>
      <c r="D40" t="s">
        <v>33</v>
      </c>
      <c r="E40" t="s">
        <v>45</v>
      </c>
      <c r="F40" t="s">
        <v>79</v>
      </c>
      <c r="G40" t="s">
        <v>34</v>
      </c>
      <c r="H40" t="s">
        <v>60</v>
      </c>
      <c r="I40" t="s">
        <v>64</v>
      </c>
      <c r="J40" s="5">
        <f t="array" ref="J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O40" t="s">
        <v>25</v>
      </c>
      <c r="P40" t="s">
        <v>50</v>
      </c>
    </row>
    <row r="41" spans="1:17" ht="16" hidden="1" customHeight="1">
      <c r="A41" s="6" t="s">
        <v>110</v>
      </c>
      <c r="B41" s="7" t="s">
        <v>59</v>
      </c>
      <c r="C41" t="s">
        <v>38</v>
      </c>
      <c r="D41" t="s">
        <v>24</v>
      </c>
      <c r="E41" t="s">
        <v>45</v>
      </c>
      <c r="F41" t="s">
        <v>46</v>
      </c>
      <c r="G41" t="s">
        <v>34</v>
      </c>
      <c r="H41" t="s">
        <v>47</v>
      </c>
      <c r="I41" t="s">
        <v>64</v>
      </c>
      <c r="J41" s="5">
        <f t="array" ref="J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6.4285714285714288</v>
      </c>
      <c r="O41" t="s">
        <v>25</v>
      </c>
      <c r="P41" t="s">
        <v>50</v>
      </c>
    </row>
    <row r="42" spans="1:17" ht="16" hidden="1" customHeight="1">
      <c r="A42" s="6" t="s">
        <v>111</v>
      </c>
      <c r="B42" s="7" t="s">
        <v>22</v>
      </c>
      <c r="C42" t="s">
        <v>38</v>
      </c>
      <c r="D42" t="s">
        <v>33</v>
      </c>
      <c r="E42" t="s">
        <v>54</v>
      </c>
      <c r="F42" t="s">
        <v>55</v>
      </c>
      <c r="G42" t="s">
        <v>34</v>
      </c>
      <c r="H42" t="s">
        <v>56</v>
      </c>
      <c r="I42" t="s">
        <v>48</v>
      </c>
      <c r="J42" s="5">
        <f t="array" ref="J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7.4285714285714288</v>
      </c>
      <c r="K42" t="s">
        <v>112</v>
      </c>
      <c r="L42" t="s">
        <v>113</v>
      </c>
      <c r="O42" t="s">
        <v>25</v>
      </c>
      <c r="P42" t="s">
        <v>50</v>
      </c>
    </row>
    <row r="43" spans="1:17" ht="16" hidden="1" customHeight="1">
      <c r="A43" s="6" t="s">
        <v>111</v>
      </c>
      <c r="B43" s="7" t="s">
        <v>22</v>
      </c>
      <c r="C43" t="s">
        <v>38</v>
      </c>
      <c r="D43" t="s">
        <v>24</v>
      </c>
      <c r="E43" t="s">
        <v>54</v>
      </c>
      <c r="F43" t="s">
        <v>55</v>
      </c>
      <c r="G43" t="s">
        <v>34</v>
      </c>
      <c r="H43" t="s">
        <v>56</v>
      </c>
      <c r="I43" t="s">
        <v>48</v>
      </c>
      <c r="J43" s="5">
        <f t="array" ref="J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7.1428571428571432</v>
      </c>
      <c r="K43" t="s">
        <v>114</v>
      </c>
      <c r="L43" t="s">
        <v>115</v>
      </c>
      <c r="N43" t="s">
        <v>116</v>
      </c>
      <c r="O43" t="s">
        <v>34</v>
      </c>
      <c r="P43" t="s">
        <v>117</v>
      </c>
      <c r="Q43" s="14">
        <v>0.58699999999999997</v>
      </c>
    </row>
    <row r="44" spans="1:17" ht="16" hidden="1" customHeight="1">
      <c r="A44" s="6" t="s">
        <v>111</v>
      </c>
      <c r="B44" s="7" t="s">
        <v>22</v>
      </c>
      <c r="C44" t="s">
        <v>38</v>
      </c>
      <c r="D44" t="s">
        <v>83</v>
      </c>
      <c r="E44" t="s">
        <v>54</v>
      </c>
      <c r="F44" t="s">
        <v>55</v>
      </c>
      <c r="G44" t="s">
        <v>34</v>
      </c>
      <c r="H44" t="s">
        <v>60</v>
      </c>
      <c r="I44" t="s">
        <v>64</v>
      </c>
      <c r="J44" s="5">
        <f t="array" ref="J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8.2857142857142865</v>
      </c>
      <c r="L44" t="s">
        <v>115</v>
      </c>
    </row>
    <row r="45" spans="1:17" ht="16" hidden="1" customHeight="1">
      <c r="A45" s="6" t="s">
        <v>118</v>
      </c>
      <c r="B45" s="7" t="s">
        <v>52</v>
      </c>
      <c r="C45" t="s">
        <v>38</v>
      </c>
      <c r="D45" t="s">
        <v>62</v>
      </c>
      <c r="E45" t="s">
        <v>54</v>
      </c>
      <c r="F45" t="s">
        <v>46</v>
      </c>
      <c r="G45" t="s">
        <v>34</v>
      </c>
      <c r="H45" t="s">
        <v>47</v>
      </c>
      <c r="I45" t="s">
        <v>64</v>
      </c>
      <c r="J45" s="5">
        <f t="array" ref="J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row>
    <row r="46" spans="1:17" ht="16" hidden="1" customHeight="1">
      <c r="A46" s="6" t="s">
        <v>118</v>
      </c>
      <c r="B46" s="7" t="s">
        <v>52</v>
      </c>
      <c r="C46" t="s">
        <v>38</v>
      </c>
      <c r="D46" t="s">
        <v>33</v>
      </c>
      <c r="E46" t="s">
        <v>45</v>
      </c>
      <c r="F46" t="s">
        <v>79</v>
      </c>
      <c r="G46" t="s">
        <v>34</v>
      </c>
      <c r="H46" t="s">
        <v>60</v>
      </c>
      <c r="I46" t="s">
        <v>64</v>
      </c>
      <c r="J46" s="5">
        <f t="array" ref="J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K46" t="s">
        <v>119</v>
      </c>
      <c r="O46" t="s">
        <v>25</v>
      </c>
      <c r="P46" t="s">
        <v>50</v>
      </c>
    </row>
    <row r="47" spans="1:17" ht="16" hidden="1" customHeight="1">
      <c r="A47" t="s">
        <v>120</v>
      </c>
      <c r="B47" s="7" t="s">
        <v>52</v>
      </c>
      <c r="C47" t="s">
        <v>38</v>
      </c>
      <c r="D47" t="s">
        <v>24</v>
      </c>
      <c r="E47" t="s">
        <v>54</v>
      </c>
      <c r="F47" t="s">
        <v>79</v>
      </c>
      <c r="G47" t="s">
        <v>34</v>
      </c>
      <c r="H47" t="s">
        <v>47</v>
      </c>
      <c r="I47" t="s">
        <v>64</v>
      </c>
      <c r="J47" s="5">
        <f t="array" ref="J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47" t="s">
        <v>121</v>
      </c>
      <c r="O47" t="s">
        <v>25</v>
      </c>
      <c r="P47" t="s">
        <v>50</v>
      </c>
    </row>
    <row r="48" spans="1:17" ht="16" hidden="1" customHeight="1">
      <c r="A48" t="s">
        <v>120</v>
      </c>
      <c r="B48" s="7" t="s">
        <v>59</v>
      </c>
      <c r="C48" t="s">
        <v>38</v>
      </c>
      <c r="D48" t="s">
        <v>62</v>
      </c>
      <c r="E48" t="s">
        <v>54</v>
      </c>
      <c r="F48" t="s">
        <v>79</v>
      </c>
      <c r="G48" t="s">
        <v>34</v>
      </c>
      <c r="H48" t="s">
        <v>56</v>
      </c>
      <c r="I48" t="s">
        <v>64</v>
      </c>
      <c r="J48" s="5">
        <f t="array" ref="J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row>
    <row r="49" spans="1:17" ht="16" hidden="1" customHeight="1">
      <c r="A49" t="s">
        <v>120</v>
      </c>
      <c r="B49" s="7" t="s">
        <v>59</v>
      </c>
      <c r="C49" t="s">
        <v>38</v>
      </c>
      <c r="D49" t="s">
        <v>33</v>
      </c>
      <c r="E49" t="s">
        <v>54</v>
      </c>
      <c r="F49" t="s">
        <v>79</v>
      </c>
      <c r="G49" t="s">
        <v>34</v>
      </c>
      <c r="H49" t="s">
        <v>56</v>
      </c>
      <c r="I49" t="s">
        <v>64</v>
      </c>
      <c r="J49" s="5">
        <f t="array" ref="J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O49" t="s">
        <v>25</v>
      </c>
      <c r="P49" t="s">
        <v>50</v>
      </c>
    </row>
    <row r="50" spans="1:17" ht="16" hidden="1" customHeight="1">
      <c r="A50" t="s">
        <v>120</v>
      </c>
      <c r="B50" s="7" t="s">
        <v>59</v>
      </c>
      <c r="C50" t="s">
        <v>38</v>
      </c>
      <c r="D50" t="s">
        <v>74</v>
      </c>
      <c r="E50" t="s">
        <v>54</v>
      </c>
      <c r="F50" t="s">
        <v>79</v>
      </c>
      <c r="G50" t="s">
        <v>34</v>
      </c>
      <c r="H50" t="s">
        <v>56</v>
      </c>
      <c r="I50" t="s">
        <v>64</v>
      </c>
      <c r="J50" s="5">
        <f t="array" ref="J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row>
    <row r="51" spans="1:17" ht="16" hidden="1" customHeight="1">
      <c r="A51" t="s">
        <v>120</v>
      </c>
      <c r="B51" s="7" t="s">
        <v>59</v>
      </c>
      <c r="C51" t="s">
        <v>38</v>
      </c>
      <c r="D51" t="s">
        <v>88</v>
      </c>
      <c r="E51" t="s">
        <v>54</v>
      </c>
      <c r="F51" t="s">
        <v>79</v>
      </c>
      <c r="G51" t="s">
        <v>34</v>
      </c>
      <c r="H51" t="s">
        <v>56</v>
      </c>
      <c r="I51" t="s">
        <v>64</v>
      </c>
      <c r="J51" s="5">
        <f t="array" ref="J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6.8571428571428568</v>
      </c>
    </row>
    <row r="52" spans="1:17" ht="16" hidden="1" customHeight="1">
      <c r="A52" t="s">
        <v>120</v>
      </c>
      <c r="B52" s="7" t="s">
        <v>59</v>
      </c>
      <c r="C52" t="s">
        <v>38</v>
      </c>
      <c r="D52" t="s">
        <v>122</v>
      </c>
      <c r="E52" t="s">
        <v>54</v>
      </c>
      <c r="F52" t="s">
        <v>79</v>
      </c>
      <c r="G52" t="s">
        <v>34</v>
      </c>
      <c r="H52" t="s">
        <v>60</v>
      </c>
      <c r="I52" t="s">
        <v>64</v>
      </c>
      <c r="J52" s="5">
        <f t="array" ref="J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6.5714285714285712</v>
      </c>
    </row>
    <row r="53" spans="1:17" ht="16" hidden="1" customHeight="1">
      <c r="A53" t="s">
        <v>123</v>
      </c>
      <c r="B53" s="7" t="s">
        <v>59</v>
      </c>
      <c r="C53" t="s">
        <v>38</v>
      </c>
      <c r="D53" t="s">
        <v>33</v>
      </c>
      <c r="E53" t="s">
        <v>54</v>
      </c>
      <c r="F53" t="s">
        <v>46</v>
      </c>
      <c r="G53" t="s">
        <v>25</v>
      </c>
      <c r="H53" t="s">
        <v>60</v>
      </c>
      <c r="I53" t="s">
        <v>61</v>
      </c>
      <c r="J53" s="5">
        <f t="array" ref="J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K53" t="s">
        <v>124</v>
      </c>
      <c r="O53" t="s">
        <v>25</v>
      </c>
      <c r="P53" t="s">
        <v>50</v>
      </c>
    </row>
    <row r="54" spans="1:17" ht="16" hidden="1" customHeight="1">
      <c r="A54" t="s">
        <v>123</v>
      </c>
      <c r="B54" s="7" t="s">
        <v>59</v>
      </c>
      <c r="C54" t="s">
        <v>38</v>
      </c>
      <c r="D54" t="s">
        <v>74</v>
      </c>
      <c r="E54" t="s">
        <v>54</v>
      </c>
      <c r="F54" t="s">
        <v>46</v>
      </c>
      <c r="G54" t="s">
        <v>25</v>
      </c>
      <c r="H54" t="s">
        <v>60</v>
      </c>
      <c r="I54" t="s">
        <v>61</v>
      </c>
      <c r="J54" s="5">
        <f t="array" ref="J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row>
    <row r="55" spans="1:17" ht="16" hidden="1" customHeight="1">
      <c r="A55" t="s">
        <v>123</v>
      </c>
      <c r="B55" s="7" t="s">
        <v>59</v>
      </c>
      <c r="C55" t="s">
        <v>38</v>
      </c>
      <c r="D55" t="s">
        <v>88</v>
      </c>
      <c r="E55" t="s">
        <v>54</v>
      </c>
      <c r="F55" t="s">
        <v>46</v>
      </c>
      <c r="G55" t="s">
        <v>25</v>
      </c>
      <c r="H55" t="s">
        <v>60</v>
      </c>
      <c r="I55" t="s">
        <v>61</v>
      </c>
      <c r="J55" s="5">
        <f t="array" ref="J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4.4285714285714288</v>
      </c>
    </row>
    <row r="56" spans="1:17" ht="16" hidden="1" customHeight="1">
      <c r="A56" t="s">
        <v>123</v>
      </c>
      <c r="B56" s="7" t="s">
        <v>59</v>
      </c>
      <c r="C56" t="s">
        <v>38</v>
      </c>
      <c r="D56" t="s">
        <v>62</v>
      </c>
      <c r="E56" t="s">
        <v>54</v>
      </c>
      <c r="F56" t="s">
        <v>46</v>
      </c>
      <c r="G56" t="s">
        <v>25</v>
      </c>
      <c r="H56" t="s">
        <v>60</v>
      </c>
      <c r="I56" t="s">
        <v>61</v>
      </c>
      <c r="J56" s="5">
        <f t="array" ref="J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row>
    <row r="57" spans="1:17" ht="16" hidden="1" customHeight="1">
      <c r="A57" t="s">
        <v>125</v>
      </c>
      <c r="B57" s="7" t="s">
        <v>52</v>
      </c>
      <c r="C57" t="s">
        <v>38</v>
      </c>
      <c r="D57" t="s">
        <v>83</v>
      </c>
      <c r="E57" t="s">
        <v>54</v>
      </c>
      <c r="F57" t="s">
        <v>79</v>
      </c>
      <c r="G57" t="s">
        <v>34</v>
      </c>
      <c r="H57" t="s">
        <v>47</v>
      </c>
      <c r="I57" t="s">
        <v>64</v>
      </c>
      <c r="J57" s="5">
        <f t="array" ref="J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7.2857142857142856</v>
      </c>
      <c r="L57" t="s">
        <v>109</v>
      </c>
    </row>
    <row r="58" spans="1:17" ht="16" hidden="1" customHeight="1">
      <c r="A58" t="s">
        <v>125</v>
      </c>
      <c r="B58" s="7" t="s">
        <v>52</v>
      </c>
      <c r="C58" t="s">
        <v>38</v>
      </c>
      <c r="D58" t="s">
        <v>33</v>
      </c>
      <c r="E58" t="s">
        <v>54</v>
      </c>
      <c r="F58" t="s">
        <v>79</v>
      </c>
      <c r="G58" t="s">
        <v>34</v>
      </c>
      <c r="H58" t="s">
        <v>126</v>
      </c>
      <c r="I58" t="s">
        <v>64</v>
      </c>
      <c r="J58" s="5" t="str">
        <f t="array" ref="J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58" t="s">
        <v>109</v>
      </c>
      <c r="N58" t="s">
        <v>68</v>
      </c>
      <c r="O58" t="s">
        <v>25</v>
      </c>
      <c r="P58" t="s">
        <v>127</v>
      </c>
      <c r="Q58" s="17"/>
    </row>
    <row r="59" spans="1:17" ht="16" hidden="1" customHeight="1">
      <c r="A59" t="s">
        <v>128</v>
      </c>
      <c r="B59" s="7" t="s">
        <v>52</v>
      </c>
      <c r="C59" t="s">
        <v>23</v>
      </c>
      <c r="D59" t="s">
        <v>33</v>
      </c>
      <c r="E59" t="s">
        <v>45</v>
      </c>
      <c r="F59" t="s">
        <v>46</v>
      </c>
      <c r="G59" t="s">
        <v>34</v>
      </c>
      <c r="H59" t="s">
        <v>47</v>
      </c>
      <c r="I59" t="s">
        <v>64</v>
      </c>
      <c r="J59" s="5">
        <f t="array" ref="J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v>
      </c>
      <c r="K59" t="s">
        <v>129</v>
      </c>
      <c r="O59" t="s">
        <v>25</v>
      </c>
      <c r="P59" t="s">
        <v>50</v>
      </c>
    </row>
    <row r="60" spans="1:17" ht="16" hidden="1" customHeight="1">
      <c r="A60" t="s">
        <v>128</v>
      </c>
      <c r="B60" s="7" t="s">
        <v>52</v>
      </c>
      <c r="C60" t="s">
        <v>23</v>
      </c>
      <c r="D60" t="s">
        <v>24</v>
      </c>
      <c r="E60" t="s">
        <v>45</v>
      </c>
      <c r="F60" t="s">
        <v>46</v>
      </c>
      <c r="G60" t="s">
        <v>34</v>
      </c>
      <c r="H60" t="s">
        <v>47</v>
      </c>
      <c r="I60" t="s">
        <v>64</v>
      </c>
      <c r="J60" s="5">
        <f t="array" ref="J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5.7142857142857144</v>
      </c>
      <c r="K60" t="s">
        <v>130</v>
      </c>
      <c r="O60" t="s">
        <v>25</v>
      </c>
      <c r="P60" t="s">
        <v>50</v>
      </c>
    </row>
    <row r="61" spans="1:17" ht="16" hidden="1" customHeight="1">
      <c r="A61" t="s">
        <v>131</v>
      </c>
      <c r="B61" s="7" t="s">
        <v>59</v>
      </c>
      <c r="C61" t="s">
        <v>38</v>
      </c>
      <c r="D61" t="s">
        <v>62</v>
      </c>
      <c r="E61" t="s">
        <v>54</v>
      </c>
      <c r="F61" t="s">
        <v>46</v>
      </c>
      <c r="G61" t="s">
        <v>25</v>
      </c>
      <c r="H61" t="s">
        <v>60</v>
      </c>
      <c r="I61" t="s">
        <v>61</v>
      </c>
      <c r="J61" s="5">
        <f t="array" ref="J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L61" t="s">
        <v>109</v>
      </c>
    </row>
    <row r="62" spans="1:17" ht="16" hidden="1" customHeight="1">
      <c r="A62" t="s">
        <v>131</v>
      </c>
      <c r="B62" s="7" t="s">
        <v>59</v>
      </c>
      <c r="C62" t="s">
        <v>38</v>
      </c>
      <c r="D62" t="s">
        <v>33</v>
      </c>
      <c r="E62" t="s">
        <v>54</v>
      </c>
      <c r="F62" t="s">
        <v>46</v>
      </c>
      <c r="G62" t="s">
        <v>25</v>
      </c>
      <c r="H62" t="s">
        <v>60</v>
      </c>
      <c r="I62" t="s">
        <v>61</v>
      </c>
      <c r="J62" s="5">
        <f t="array" ref="J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L62" t="s">
        <v>109</v>
      </c>
      <c r="O62" t="s">
        <v>25</v>
      </c>
      <c r="P62" t="s">
        <v>50</v>
      </c>
    </row>
    <row r="63" spans="1:17" ht="16" hidden="1" customHeight="1">
      <c r="A63" t="s">
        <v>131</v>
      </c>
      <c r="B63" s="7" t="s">
        <v>52</v>
      </c>
      <c r="C63" t="s">
        <v>38</v>
      </c>
      <c r="D63" t="s">
        <v>88</v>
      </c>
      <c r="E63" t="s">
        <v>54</v>
      </c>
      <c r="F63" t="s">
        <v>46</v>
      </c>
      <c r="G63" t="s">
        <v>25</v>
      </c>
      <c r="H63" t="s">
        <v>60</v>
      </c>
      <c r="I63" t="s">
        <v>61</v>
      </c>
      <c r="J63" s="5">
        <f t="array" ref="J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4.4285714285714288</v>
      </c>
      <c r="L63" t="s">
        <v>109</v>
      </c>
    </row>
    <row r="64" spans="1:17" ht="16" hidden="1" customHeight="1">
      <c r="A64" t="s">
        <v>131</v>
      </c>
      <c r="B64" s="7" t="s">
        <v>59</v>
      </c>
      <c r="C64" t="s">
        <v>38</v>
      </c>
      <c r="D64" t="s">
        <v>24</v>
      </c>
      <c r="E64" t="s">
        <v>54</v>
      </c>
      <c r="F64" t="s">
        <v>46</v>
      </c>
      <c r="G64" t="s">
        <v>25</v>
      </c>
      <c r="H64" t="s">
        <v>60</v>
      </c>
      <c r="I64" t="s">
        <v>61</v>
      </c>
      <c r="J64" s="5">
        <f t="array" ref="J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4.8571428571428568</v>
      </c>
      <c r="L64" t="s">
        <v>109</v>
      </c>
      <c r="O64" t="s">
        <v>25</v>
      </c>
      <c r="P64" t="s">
        <v>50</v>
      </c>
    </row>
    <row r="65" spans="1:19" ht="16" hidden="1" customHeight="1">
      <c r="A65" t="s">
        <v>132</v>
      </c>
      <c r="B65" s="7" t="s">
        <v>52</v>
      </c>
      <c r="C65" t="s">
        <v>38</v>
      </c>
      <c r="D65" t="s">
        <v>24</v>
      </c>
      <c r="E65" t="s">
        <v>54</v>
      </c>
      <c r="F65" t="s">
        <v>46</v>
      </c>
      <c r="G65" t="s">
        <v>34</v>
      </c>
      <c r="H65" t="s">
        <v>56</v>
      </c>
      <c r="I65" t="s">
        <v>64</v>
      </c>
      <c r="J65" s="5">
        <f t="array" ref="J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65" s="8" t="s">
        <v>73</v>
      </c>
      <c r="L65" s="8" t="s">
        <v>133</v>
      </c>
      <c r="M65" s="8"/>
      <c r="N65" s="8"/>
      <c r="O65" s="8" t="s">
        <v>25</v>
      </c>
      <c r="P65" s="8" t="s">
        <v>50</v>
      </c>
      <c r="Q65" s="15"/>
    </row>
    <row r="66" spans="1:19" ht="16" hidden="1" customHeight="1">
      <c r="A66" t="s">
        <v>134</v>
      </c>
      <c r="B66" s="7" t="s">
        <v>52</v>
      </c>
      <c r="C66" t="s">
        <v>53</v>
      </c>
      <c r="D66" t="s">
        <v>33</v>
      </c>
      <c r="E66" t="s">
        <v>72</v>
      </c>
      <c r="F66" t="s">
        <v>135</v>
      </c>
      <c r="G66" t="s">
        <v>34</v>
      </c>
      <c r="H66" t="s">
        <v>47</v>
      </c>
      <c r="I66" t="s">
        <v>64</v>
      </c>
      <c r="J66" s="5">
        <f t="array" ref="J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6.2857142857142856</v>
      </c>
      <c r="K66" t="s">
        <v>136</v>
      </c>
      <c r="N66" t="s">
        <v>137</v>
      </c>
      <c r="O66" t="s">
        <v>34</v>
      </c>
      <c r="P66" t="s">
        <v>138</v>
      </c>
      <c r="Q66" s="17">
        <v>1</v>
      </c>
    </row>
    <row r="67" spans="1:19" ht="16" hidden="1" customHeight="1">
      <c r="A67" t="s">
        <v>134</v>
      </c>
      <c r="B67" s="7" t="s">
        <v>59</v>
      </c>
      <c r="C67" t="s">
        <v>53</v>
      </c>
      <c r="D67" t="s">
        <v>105</v>
      </c>
      <c r="E67" t="s">
        <v>72</v>
      </c>
      <c r="F67" t="s">
        <v>135</v>
      </c>
      <c r="G67" t="s">
        <v>34</v>
      </c>
      <c r="H67" t="s">
        <v>56</v>
      </c>
      <c r="I67" t="s">
        <v>64</v>
      </c>
      <c r="J67" s="5">
        <f t="array" ref="J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5.8571428571428568</v>
      </c>
    </row>
    <row r="68" spans="1:19" ht="16" hidden="1" customHeight="1">
      <c r="A68" t="s">
        <v>139</v>
      </c>
      <c r="B68" s="7" t="s">
        <v>59</v>
      </c>
      <c r="C68" t="s">
        <v>38</v>
      </c>
      <c r="D68" t="s">
        <v>33</v>
      </c>
      <c r="E68" t="s">
        <v>22</v>
      </c>
      <c r="F68" t="s">
        <v>79</v>
      </c>
      <c r="G68" t="s">
        <v>25</v>
      </c>
      <c r="H68" t="s">
        <v>140</v>
      </c>
      <c r="I68" t="s">
        <v>64</v>
      </c>
      <c r="J68" s="5">
        <f t="array" ref="J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5.8571428571428568</v>
      </c>
      <c r="O68" t="s">
        <v>25</v>
      </c>
      <c r="P68" t="s">
        <v>50</v>
      </c>
    </row>
    <row r="69" spans="1:19" ht="16" hidden="1" customHeight="1">
      <c r="A69" t="s">
        <v>139</v>
      </c>
      <c r="B69" s="7" t="s">
        <v>59</v>
      </c>
      <c r="C69" t="s">
        <v>38</v>
      </c>
      <c r="D69" t="s">
        <v>24</v>
      </c>
      <c r="E69" t="s">
        <v>22</v>
      </c>
      <c r="F69" t="s">
        <v>79</v>
      </c>
      <c r="G69" t="s">
        <v>25</v>
      </c>
      <c r="H69" t="s">
        <v>140</v>
      </c>
      <c r="I69" t="s">
        <v>64</v>
      </c>
      <c r="J69" s="5">
        <f t="array" ref="J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5.5714285714285712</v>
      </c>
      <c r="O69" t="s">
        <v>25</v>
      </c>
      <c r="P69" t="s">
        <v>50</v>
      </c>
    </row>
    <row r="70" spans="1:19" ht="34" hidden="1" customHeight="1">
      <c r="A70" t="s">
        <v>141</v>
      </c>
      <c r="B70" s="7" t="s">
        <v>52</v>
      </c>
      <c r="C70" t="s">
        <v>29</v>
      </c>
      <c r="D70" t="s">
        <v>88</v>
      </c>
      <c r="E70" t="s">
        <v>54</v>
      </c>
      <c r="F70" t="s">
        <v>55</v>
      </c>
      <c r="G70" t="s">
        <v>34</v>
      </c>
      <c r="H70" t="s">
        <v>56</v>
      </c>
      <c r="I70" t="s">
        <v>64</v>
      </c>
      <c r="J70" s="5">
        <f t="array" ref="J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6.5714285714285712</v>
      </c>
      <c r="R70" t="s">
        <v>142</v>
      </c>
      <c r="S70" s="11" t="s">
        <v>143</v>
      </c>
    </row>
    <row r="71" spans="1:19" ht="16" hidden="1" customHeight="1">
      <c r="A71" t="s">
        <v>144</v>
      </c>
      <c r="J71" s="5" t="str">
        <f t="array" ref="J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 spans="1:19" ht="16" hidden="1" customHeight="1">
      <c r="A72" t="s">
        <v>145</v>
      </c>
      <c r="C72" t="s">
        <v>38</v>
      </c>
      <c r="E72" t="s">
        <v>54</v>
      </c>
      <c r="G72" t="s">
        <v>34</v>
      </c>
      <c r="J72" s="5" t="str">
        <f t="array" ref="J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72" t="s">
        <v>146</v>
      </c>
    </row>
    <row r="73" spans="1:19" ht="16" hidden="1" customHeight="1">
      <c r="A73" t="s">
        <v>147</v>
      </c>
      <c r="C73" t="s">
        <v>53</v>
      </c>
      <c r="D73" t="s">
        <v>83</v>
      </c>
      <c r="J73" s="5" t="str">
        <f t="array" ref="J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 spans="1:19" ht="16" hidden="1" customHeight="1">
      <c r="A74" t="s">
        <v>148</v>
      </c>
      <c r="C74" t="s">
        <v>53</v>
      </c>
      <c r="D74" t="s">
        <v>33</v>
      </c>
      <c r="J74" s="5" t="str">
        <f t="array" ref="J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74" t="s">
        <v>25</v>
      </c>
      <c r="P74" t="s">
        <v>50</v>
      </c>
    </row>
    <row r="75" spans="1:19" ht="16" hidden="1" customHeight="1">
      <c r="A75" t="s">
        <v>148</v>
      </c>
      <c r="C75" t="s">
        <v>53</v>
      </c>
      <c r="D75" t="s">
        <v>24</v>
      </c>
      <c r="J75" s="5" t="str">
        <f t="array" ref="J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75" t="s">
        <v>25</v>
      </c>
      <c r="P75" t="s">
        <v>50</v>
      </c>
    </row>
    <row r="76" spans="1:19" ht="16" hidden="1" customHeight="1">
      <c r="A76" t="s">
        <v>148</v>
      </c>
      <c r="C76" t="s">
        <v>53</v>
      </c>
      <c r="D76" t="s">
        <v>62</v>
      </c>
      <c r="J76" s="5" t="str">
        <f t="array" ref="J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 spans="1:19" ht="16" hidden="1" customHeight="1">
      <c r="A77" t="s">
        <v>148</v>
      </c>
      <c r="C77" t="s">
        <v>53</v>
      </c>
      <c r="D77" t="s">
        <v>83</v>
      </c>
      <c r="J77" s="5" t="str">
        <f t="array" ref="J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 spans="1:19" ht="16" hidden="1" customHeight="1">
      <c r="A78" t="s">
        <v>148</v>
      </c>
      <c r="C78" t="s">
        <v>53</v>
      </c>
      <c r="D78" t="s">
        <v>105</v>
      </c>
      <c r="J78" s="5" t="str">
        <f t="array" ref="J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 spans="1:19" ht="16" hidden="1" customHeight="1">
      <c r="A79" t="s">
        <v>148</v>
      </c>
      <c r="C79" t="s">
        <v>53</v>
      </c>
      <c r="D79" t="s">
        <v>149</v>
      </c>
      <c r="J79" s="5" t="str">
        <f t="array" ref="J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 spans="1:19" ht="16" hidden="1" customHeight="1">
      <c r="A80" t="s">
        <v>148</v>
      </c>
      <c r="C80" t="s">
        <v>53</v>
      </c>
      <c r="D80" t="s">
        <v>150</v>
      </c>
      <c r="J80" s="5" t="str">
        <f t="array" ref="J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 spans="1:18" ht="16" hidden="1" customHeight="1">
      <c r="A81" t="s">
        <v>148</v>
      </c>
      <c r="C81" t="s">
        <v>53</v>
      </c>
      <c r="D81" t="s">
        <v>88</v>
      </c>
      <c r="J81" s="5" t="str">
        <f t="array" ref="J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 spans="1:18" ht="16" hidden="1" customHeight="1">
      <c r="A82" t="s">
        <v>148</v>
      </c>
      <c r="C82" t="s">
        <v>53</v>
      </c>
      <c r="D82" t="s">
        <v>122</v>
      </c>
      <c r="J82" s="5" t="str">
        <f t="array" ref="J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 spans="1:18" ht="16" hidden="1" customHeight="1">
      <c r="A83" t="s">
        <v>148</v>
      </c>
      <c r="C83" t="s">
        <v>53</v>
      </c>
      <c r="D83" t="s">
        <v>74</v>
      </c>
      <c r="J83" s="5" t="str">
        <f t="array" ref="J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 spans="1:18" ht="238" hidden="1" customHeight="1">
      <c r="A84" t="s">
        <v>151</v>
      </c>
      <c r="J84" s="5" t="str">
        <f t="array" ref="J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R84" s="11" t="s">
        <v>152</v>
      </c>
    </row>
    <row r="85" spans="1:18" ht="289" hidden="1" customHeight="1">
      <c r="A85" t="s">
        <v>153</v>
      </c>
      <c r="J85" s="5" t="str">
        <f t="array" ref="J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R85" s="11" t="s">
        <v>154</v>
      </c>
    </row>
    <row r="86" spans="1:18" ht="16" hidden="1" customHeight="1">
      <c r="A86" t="s">
        <v>155</v>
      </c>
      <c r="C86" t="s">
        <v>53</v>
      </c>
      <c r="J86" s="5" t="str">
        <f t="array" ref="J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 spans="1:18" ht="16" hidden="1" customHeight="1">
      <c r="J87" s="5" t="str">
        <f t="array" ref="J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 spans="1:18" ht="16" hidden="1" customHeight="1">
      <c r="J88" s="5" t="str">
        <f t="array" ref="J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 spans="1:18" ht="16" hidden="1" customHeight="1">
      <c r="J89" s="5" t="str">
        <f t="array" ref="J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 spans="1:18" ht="16" hidden="1" customHeight="1">
      <c r="J90" s="5" t="str">
        <f t="array" ref="J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 spans="1:18" ht="16" hidden="1" customHeight="1">
      <c r="J91" s="5" t="str">
        <f t="array" ref="J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 spans="1:18" ht="16" hidden="1" customHeight="1">
      <c r="J92" s="5" t="str">
        <f t="array" ref="J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 spans="1:18" ht="16" hidden="1" customHeight="1">
      <c r="J93" s="5" t="str">
        <f t="array" ref="J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 spans="1:18" ht="16" hidden="1" customHeight="1">
      <c r="J94" s="5" t="str">
        <f t="array" ref="J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 spans="1:18" ht="16" hidden="1" customHeight="1">
      <c r="J95" s="5" t="str">
        <f t="array" ref="J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 spans="1:18" ht="16" hidden="1" customHeight="1">
      <c r="J96" s="5" t="str">
        <f t="array" ref="J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 spans="10:10" ht="16" hidden="1" customHeight="1">
      <c r="J97" s="5" t="str">
        <f t="array" ref="J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 spans="10:10" ht="16" hidden="1" customHeight="1">
      <c r="J98" s="5" t="str">
        <f t="array" ref="J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 spans="10:10" ht="16" hidden="1" customHeight="1">
      <c r="J99" s="5" t="str">
        <f t="array" ref="J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 spans="10:10" ht="16" hidden="1" customHeight="1">
      <c r="J100" s="5" t="str">
        <f t="array" ref="J1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 spans="10:10" ht="16" hidden="1" customHeight="1">
      <c r="J101" s="5" t="str">
        <f t="array" ref="J1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2" spans="10:10" ht="16" hidden="1" customHeight="1">
      <c r="J102" s="5" t="str">
        <f t="array" ref="J1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3" spans="10:10" ht="16" hidden="1" customHeight="1">
      <c r="J103" s="5" t="str">
        <f t="array" ref="J1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4" spans="10:10" ht="16" hidden="1" customHeight="1">
      <c r="J104" s="5" t="str">
        <f t="array" ref="J1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5" spans="10:10" ht="16" hidden="1" customHeight="1">
      <c r="J105" s="5" t="str">
        <f t="array" ref="J1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6" spans="10:10" ht="16" hidden="1" customHeight="1">
      <c r="J106" s="5" t="str">
        <f t="array" ref="J1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7" spans="10:10" ht="16" hidden="1" customHeight="1">
      <c r="J107" s="5" t="str">
        <f t="array" ref="J1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8" spans="10:10" ht="16" hidden="1" customHeight="1">
      <c r="J108" s="5" t="str">
        <f t="array" ref="J1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9" spans="10:10" ht="16" hidden="1" customHeight="1">
      <c r="J109" s="5" t="str">
        <f t="array" ref="J1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0" spans="10:10" ht="16" hidden="1" customHeight="1">
      <c r="J110" s="5" t="str">
        <f t="array" ref="J1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1" spans="10:10" ht="16" hidden="1" customHeight="1">
      <c r="J111" s="5" t="str">
        <f t="array" ref="J1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2" spans="10:10" ht="16" hidden="1" customHeight="1">
      <c r="J112" s="5" t="str">
        <f t="array" ref="J1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3" spans="10:10" ht="16" hidden="1" customHeight="1">
      <c r="J113" s="5" t="str">
        <f t="array" ref="J1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4" spans="10:10" ht="16" hidden="1" customHeight="1">
      <c r="J114" s="5" t="str">
        <f t="array" ref="J1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5" spans="10:10" ht="16" hidden="1" customHeight="1">
      <c r="J115" s="5" t="str">
        <f t="array" ref="J1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6" spans="10:10" ht="16" hidden="1" customHeight="1">
      <c r="J116" s="5" t="str">
        <f t="array" ref="J1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7" spans="10:10" ht="16" hidden="1" customHeight="1">
      <c r="J117" s="5" t="str">
        <f t="array" ref="J1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8" spans="10:10" ht="16" hidden="1" customHeight="1">
      <c r="J118" s="5" t="str">
        <f t="array" ref="J1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9" spans="10:10" ht="16" hidden="1" customHeight="1">
      <c r="J119" s="5" t="str">
        <f t="array" ref="J1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0" spans="10:10" ht="16" hidden="1" customHeight="1">
      <c r="J120" s="5" t="str">
        <f t="array" ref="J1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1" spans="10:10" ht="16" hidden="1" customHeight="1">
      <c r="J121" s="5" t="str">
        <f t="array" ref="J1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2" spans="10:10" ht="16" hidden="1" customHeight="1">
      <c r="J122" s="5" t="str">
        <f t="array" ref="J1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3" spans="10:10" ht="16" hidden="1" customHeight="1">
      <c r="J123" s="5" t="str">
        <f t="array" ref="J1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4" spans="10:10" ht="16" hidden="1" customHeight="1">
      <c r="J124" s="5" t="str">
        <f t="array" ref="J1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5" spans="10:10" ht="16" hidden="1" customHeight="1">
      <c r="J125" s="5" t="str">
        <f t="array" ref="J1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6" spans="10:10" ht="16" hidden="1" customHeight="1">
      <c r="J126" s="5" t="str">
        <f t="array" ref="J1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7" spans="10:10" ht="16" hidden="1" customHeight="1">
      <c r="J127" s="5" t="str">
        <f t="array" ref="J1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8" spans="10:10" ht="16" hidden="1" customHeight="1">
      <c r="J128" s="5" t="str">
        <f t="array" ref="J1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9" spans="10:10" ht="16" hidden="1" customHeight="1">
      <c r="J129" s="5" t="str">
        <f t="array" ref="J1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0" spans="10:10" ht="16" hidden="1" customHeight="1">
      <c r="J130" s="5" t="str">
        <f t="array" ref="J1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1" spans="10:10" ht="16" hidden="1" customHeight="1">
      <c r="J131" s="5" t="str">
        <f t="array" ref="J1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2" spans="10:10" ht="16" hidden="1" customHeight="1">
      <c r="J132" s="5" t="str">
        <f t="array" ref="J1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3" spans="10:10" ht="16" hidden="1" customHeight="1">
      <c r="J133" s="5" t="str">
        <f t="array" ref="J1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4" spans="10:10" ht="16" hidden="1" customHeight="1">
      <c r="J134" s="5" t="str">
        <f t="array" ref="J1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5" spans="10:10" ht="16" hidden="1" customHeight="1">
      <c r="J135" s="5" t="str">
        <f t="array" ref="J1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6" spans="10:10" ht="16" hidden="1" customHeight="1">
      <c r="J136" s="5" t="str">
        <f t="array" ref="J1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7" spans="10:10" ht="16" hidden="1" customHeight="1">
      <c r="J137" s="5" t="str">
        <f t="array" ref="J1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8" spans="10:10" ht="16" hidden="1" customHeight="1">
      <c r="J138" s="5" t="str">
        <f t="array" ref="J1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9" spans="10:10" ht="16" hidden="1" customHeight="1">
      <c r="J139" s="5" t="str">
        <f t="array" ref="J1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0" spans="10:10" ht="16" hidden="1" customHeight="1">
      <c r="J140" s="5" t="str">
        <f t="array" ref="J1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1" spans="10:10" ht="16" hidden="1" customHeight="1">
      <c r="J141" s="5" t="str">
        <f t="array" ref="J1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2" spans="10:10" ht="16" hidden="1" customHeight="1">
      <c r="J142" s="5" t="str">
        <f t="array" ref="J1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3" spans="10:10" ht="16" hidden="1" customHeight="1">
      <c r="J143" s="5" t="str">
        <f t="array" ref="J1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4" spans="10:10" ht="16" hidden="1" customHeight="1">
      <c r="J144" s="5" t="str">
        <f t="array" ref="J1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5" spans="10:10" ht="16" hidden="1" customHeight="1">
      <c r="J145" s="5" t="str">
        <f t="array" ref="J1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6" spans="10:10" ht="16" hidden="1" customHeight="1">
      <c r="J146" s="5" t="str">
        <f t="array" ref="J1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7" spans="10:10" ht="16" hidden="1" customHeight="1">
      <c r="J147" s="5" t="str">
        <f t="array" ref="J1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8" spans="10:10" ht="16" hidden="1" customHeight="1">
      <c r="J148" s="5" t="str">
        <f t="array" ref="J1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9" spans="10:10" ht="16" hidden="1" customHeight="1">
      <c r="J149" s="5" t="str">
        <f t="array" ref="J1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0" spans="10:10" ht="16" hidden="1" customHeight="1">
      <c r="J150" s="5" t="str">
        <f t="array" ref="J1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1" spans="10:10" ht="16" hidden="1" customHeight="1">
      <c r="J151" s="5" t="str">
        <f t="array" ref="J1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2" spans="10:10" ht="16" hidden="1" customHeight="1">
      <c r="J152" s="5" t="str">
        <f t="array" ref="J1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3" spans="10:10" ht="16" hidden="1" customHeight="1">
      <c r="J153" s="5" t="str">
        <f t="array" ref="J1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4" spans="10:10" ht="16" hidden="1" customHeight="1">
      <c r="J154" s="5" t="str">
        <f t="array" ref="J1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5" spans="10:10" ht="16" hidden="1" customHeight="1">
      <c r="J155" s="5" t="str">
        <f t="array" ref="J1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6" spans="10:10" ht="16" hidden="1" customHeight="1">
      <c r="J156" s="5" t="str">
        <f t="array" ref="J1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7" spans="10:10" ht="16" hidden="1" customHeight="1">
      <c r="J157" s="5" t="str">
        <f t="array" ref="J1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8" spans="10:10" ht="16" hidden="1" customHeight="1">
      <c r="J158" s="5" t="str">
        <f t="array" ref="J1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9" spans="10:10" ht="16" hidden="1" customHeight="1">
      <c r="J159" s="5" t="str">
        <f t="array" ref="J1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0" spans="10:10" ht="16" hidden="1" customHeight="1">
      <c r="J160" s="5" t="str">
        <f t="array" ref="J1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1" spans="10:10" ht="16" hidden="1" customHeight="1">
      <c r="J161" s="5" t="str">
        <f t="array" ref="J1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2" spans="10:10" ht="16" hidden="1" customHeight="1">
      <c r="J162" s="5" t="str">
        <f t="array" ref="J1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3" spans="10:10" ht="16" hidden="1" customHeight="1">
      <c r="J163" s="5" t="str">
        <f t="array" ref="J1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4" spans="10:10" ht="16" hidden="1" customHeight="1">
      <c r="J164" s="5" t="str">
        <f t="array" ref="J1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5" spans="10:10" ht="16" hidden="1" customHeight="1">
      <c r="J165" s="5" t="str">
        <f t="array" ref="J1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6" spans="10:10" ht="16" hidden="1" customHeight="1">
      <c r="J166" s="5" t="str">
        <f t="array" ref="J1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7" spans="10:10" ht="16" hidden="1" customHeight="1">
      <c r="J167" s="5" t="str">
        <f t="array" ref="J1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8" spans="10:10" ht="16" hidden="1" customHeight="1">
      <c r="J168" s="5" t="str">
        <f t="array" ref="J1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9" spans="10:10" ht="16" hidden="1" customHeight="1">
      <c r="J169" s="5" t="str">
        <f t="array" ref="J1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0" spans="10:10" ht="16" hidden="1" customHeight="1">
      <c r="J170" s="5" t="str">
        <f t="array" ref="J1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1" spans="10:10" ht="16" hidden="1" customHeight="1">
      <c r="J171" s="5" t="str">
        <f t="array" ref="J1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2" spans="10:10" ht="16" hidden="1" customHeight="1">
      <c r="J172" s="5" t="str">
        <f t="array" ref="J1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3" spans="10:10" ht="16" hidden="1" customHeight="1">
      <c r="J173" s="5" t="str">
        <f t="array" ref="J1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4" spans="10:10" ht="16" hidden="1" customHeight="1">
      <c r="J174" s="5" t="str">
        <f t="array" ref="J1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5" spans="10:10" ht="16" hidden="1" customHeight="1">
      <c r="J175" s="5" t="str">
        <f t="array" ref="J1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6" spans="10:10" ht="16" hidden="1" customHeight="1">
      <c r="J176" s="5" t="str">
        <f t="array" ref="J1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7" spans="10:10" ht="16" hidden="1" customHeight="1">
      <c r="J177" s="5" t="str">
        <f t="array" ref="J1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8" spans="10:10" ht="16" hidden="1" customHeight="1">
      <c r="J178" s="5" t="str">
        <f t="array" ref="J1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9" spans="10:10" ht="16" hidden="1" customHeight="1">
      <c r="J179" s="5" t="str">
        <f t="array" ref="J1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0" spans="10:10" ht="16" hidden="1" customHeight="1">
      <c r="J180" s="5" t="str">
        <f t="array" ref="J1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1" spans="10:10" ht="16" hidden="1" customHeight="1">
      <c r="J181" s="5" t="str">
        <f t="array" ref="J1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2" spans="10:10" ht="16" hidden="1" customHeight="1">
      <c r="J182" s="5" t="str">
        <f t="array" ref="J1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3" spans="10:10" ht="16" hidden="1" customHeight="1">
      <c r="J183" s="5" t="str">
        <f t="array" ref="J1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4" spans="10:10" ht="16" hidden="1" customHeight="1">
      <c r="J184" s="5" t="str">
        <f t="array" ref="J1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5" spans="10:10" ht="16" hidden="1" customHeight="1">
      <c r="J185" s="5" t="str">
        <f t="array" ref="J1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6" spans="10:10" ht="16" hidden="1" customHeight="1">
      <c r="J186" s="5" t="str">
        <f t="array" ref="J1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7" spans="10:10" ht="16" hidden="1" customHeight="1">
      <c r="J187" s="5" t="str">
        <f t="array" ref="J1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8" spans="10:10" ht="16" hidden="1" customHeight="1">
      <c r="J188" s="5" t="str">
        <f t="array" ref="J1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9" spans="10:10" ht="16" hidden="1" customHeight="1">
      <c r="J189" s="5" t="str">
        <f t="array" ref="J1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0" spans="10:10" ht="16" hidden="1" customHeight="1">
      <c r="J190" s="5" t="str">
        <f t="array" ref="J1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1" spans="10:10" ht="16" hidden="1" customHeight="1">
      <c r="J191" s="5" t="str">
        <f t="array" ref="J1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2" spans="10:10" ht="16" hidden="1" customHeight="1">
      <c r="J192" s="5" t="str">
        <f t="array" ref="J1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3" spans="10:10" ht="16" hidden="1" customHeight="1">
      <c r="J193" s="5" t="str">
        <f t="array" ref="J1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4" spans="10:10" ht="16" hidden="1" customHeight="1">
      <c r="J194" s="5" t="str">
        <f t="array" ref="J1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5" spans="10:10" ht="16" hidden="1" customHeight="1">
      <c r="J195" s="5" t="str">
        <f t="array" ref="J1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6" spans="10:10" ht="16" hidden="1" customHeight="1">
      <c r="J196" s="5" t="str">
        <f t="array" ref="J1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7" spans="10:10" ht="16" hidden="1" customHeight="1">
      <c r="J197" s="5" t="str">
        <f t="array" ref="J1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8" spans="10:10" ht="16" hidden="1" customHeight="1">
      <c r="J198" s="5" t="str">
        <f t="array" ref="J1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9" spans="10:10" ht="16" hidden="1" customHeight="1">
      <c r="J199" s="5" t="str">
        <f t="array" ref="J1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0" spans="10:10" ht="16" hidden="1" customHeight="1">
      <c r="J200" s="5" t="str">
        <f t="array" ref="J2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1" spans="10:10" ht="16" hidden="1" customHeight="1">
      <c r="J201" s="5" t="str">
        <f t="array" ref="J2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2" spans="10:10" ht="16" hidden="1" customHeight="1">
      <c r="J202" s="5" t="str">
        <f t="array" ref="J2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3" spans="10:10" ht="16" hidden="1" customHeight="1">
      <c r="J203" s="5" t="str">
        <f t="array" ref="J2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4" spans="10:10" ht="16" hidden="1" customHeight="1">
      <c r="J204" s="5" t="str">
        <f t="array" ref="J2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5" spans="10:10" ht="16" hidden="1" customHeight="1">
      <c r="J205" s="5" t="str">
        <f t="array" ref="J2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6" spans="10:10" ht="16" hidden="1" customHeight="1">
      <c r="J206" s="5" t="str">
        <f t="array" ref="J2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7" spans="10:10" ht="16" hidden="1" customHeight="1">
      <c r="J207" s="5" t="str">
        <f t="array" ref="J2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8" spans="10:10" ht="16" hidden="1" customHeight="1">
      <c r="J208" s="5" t="str">
        <f t="array" ref="J2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9" spans="10:10" ht="16" hidden="1" customHeight="1">
      <c r="J209" s="5" t="str">
        <f t="array" ref="J2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0" spans="10:10" ht="16" hidden="1" customHeight="1">
      <c r="J210" s="5" t="str">
        <f t="array" ref="J2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1" spans="10:10" ht="16" hidden="1" customHeight="1">
      <c r="J211" s="5" t="str">
        <f t="array" ref="J2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2" spans="10:10" ht="16" hidden="1" customHeight="1">
      <c r="J212" s="5" t="str">
        <f t="array" ref="J2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3" spans="10:10" ht="16" hidden="1" customHeight="1">
      <c r="J213" s="5" t="str">
        <f t="array" ref="J2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4" spans="10:10" ht="16" hidden="1" customHeight="1">
      <c r="J214" s="5" t="str">
        <f t="array" ref="J2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5" spans="10:10" ht="16" hidden="1" customHeight="1">
      <c r="J215" s="5" t="str">
        <f t="array" ref="J2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6" spans="10:10" ht="16" hidden="1" customHeight="1">
      <c r="J216" s="5" t="str">
        <f t="array" ref="J2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7" spans="10:10" ht="16" hidden="1" customHeight="1">
      <c r="J217" s="5" t="str">
        <f t="array" ref="J2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8" spans="10:10" ht="16" hidden="1" customHeight="1">
      <c r="J218" s="5" t="str">
        <f t="array" ref="J2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9" spans="10:10" ht="16" hidden="1" customHeight="1">
      <c r="J219" s="5" t="str">
        <f t="array" ref="J2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0" spans="10:10" ht="16" hidden="1" customHeight="1">
      <c r="J220" s="5" t="str">
        <f t="array" ref="J2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1" spans="10:10" ht="16" hidden="1" customHeight="1">
      <c r="J221" s="5" t="str">
        <f t="array" ref="J2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2" spans="10:10" ht="16" hidden="1" customHeight="1">
      <c r="J222" s="5" t="str">
        <f t="array" ref="J2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3" spans="10:10" ht="16" hidden="1" customHeight="1">
      <c r="J223" s="5" t="str">
        <f t="array" ref="J2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4" spans="10:10" ht="16" hidden="1" customHeight="1">
      <c r="J224" s="5" t="str">
        <f t="array" ref="J2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5" spans="10:10" ht="16" hidden="1" customHeight="1">
      <c r="J225" s="5" t="str">
        <f t="array" ref="J2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6" spans="10:10" ht="16" hidden="1" customHeight="1">
      <c r="J226" s="5" t="str">
        <f t="array" ref="J2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7" spans="10:10" ht="16" hidden="1" customHeight="1">
      <c r="J227" s="5" t="str">
        <f t="array" ref="J2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8" spans="10:10" ht="16" hidden="1" customHeight="1">
      <c r="J228" s="5" t="str">
        <f t="array" ref="J2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9" spans="10:10" ht="16" hidden="1" customHeight="1">
      <c r="J229" s="5" t="str">
        <f t="array" ref="J2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0" spans="10:10" ht="16" hidden="1" customHeight="1">
      <c r="J230" s="5" t="str">
        <f t="array" ref="J2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1" spans="10:10" ht="16" hidden="1" customHeight="1">
      <c r="J231" s="5" t="str">
        <f t="array" ref="J2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2" spans="10:10" ht="16" hidden="1" customHeight="1">
      <c r="J232" s="5" t="str">
        <f t="array" ref="J2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3" spans="10:10" ht="16" hidden="1" customHeight="1">
      <c r="J233" s="5" t="str">
        <f t="array" ref="J2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4" spans="10:10" ht="16" hidden="1" customHeight="1">
      <c r="J234" s="5" t="str">
        <f t="array" ref="J2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5" spans="10:10" ht="16" hidden="1" customHeight="1">
      <c r="J235" s="5" t="str">
        <f t="array" ref="J2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6" spans="10:10" ht="16" hidden="1" customHeight="1">
      <c r="J236" s="5" t="str">
        <f t="array" ref="J2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7" spans="10:10" ht="16" hidden="1" customHeight="1">
      <c r="J237" s="5" t="str">
        <f t="array" ref="J2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8" spans="10:10" ht="16" hidden="1" customHeight="1">
      <c r="J238" s="5" t="str">
        <f t="array" ref="J2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9" spans="10:10" ht="16" hidden="1" customHeight="1">
      <c r="J239" s="5" t="str">
        <f t="array" ref="J2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0" spans="10:10" ht="16" hidden="1" customHeight="1">
      <c r="J240" s="5" t="str">
        <f t="array" ref="J2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1" spans="10:10" ht="16" hidden="1" customHeight="1">
      <c r="J241" s="5" t="str">
        <f t="array" ref="J2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2" spans="10:10" ht="16" hidden="1" customHeight="1">
      <c r="J242" s="5" t="str">
        <f t="array" ref="J2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3" spans="10:10" ht="16" hidden="1" customHeight="1">
      <c r="J243" s="5" t="str">
        <f t="array" ref="J2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4" spans="10:10" ht="16" hidden="1" customHeight="1">
      <c r="J244" s="5" t="str">
        <f t="array" ref="J2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5" spans="10:10" ht="16" hidden="1" customHeight="1">
      <c r="J245" s="5" t="str">
        <f t="array" ref="J2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6" spans="10:10" ht="16" hidden="1" customHeight="1">
      <c r="J246" s="5" t="str">
        <f t="array" ref="J2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7" spans="10:10" ht="16" hidden="1" customHeight="1">
      <c r="J247" s="5" t="str">
        <f t="array" ref="J2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8" spans="10:10" ht="16" hidden="1" customHeight="1">
      <c r="J248" s="5" t="str">
        <f t="array" ref="J2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9" spans="10:10" ht="16" hidden="1" customHeight="1">
      <c r="J249" s="5" t="str">
        <f t="array" ref="J2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0" spans="10:10" ht="16" hidden="1" customHeight="1">
      <c r="J250" s="5" t="str">
        <f t="array" ref="J2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1" spans="10:10" ht="16" hidden="1" customHeight="1">
      <c r="J251" s="5" t="str">
        <f t="array" ref="J2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2" spans="10:10" ht="16" hidden="1" customHeight="1">
      <c r="J252" s="5" t="str">
        <f t="array" ref="J2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3" spans="10:10" ht="16" hidden="1" customHeight="1">
      <c r="J253" s="5" t="str">
        <f t="array" ref="J2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4" spans="10:10" ht="16" hidden="1" customHeight="1">
      <c r="J254" s="5" t="str">
        <f t="array" ref="J2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5" spans="10:10" ht="16" hidden="1" customHeight="1">
      <c r="J255" s="5" t="str">
        <f t="array" ref="J2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6" spans="10:10" ht="16" hidden="1" customHeight="1">
      <c r="J256" s="5" t="str">
        <f t="array" ref="J2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7" spans="10:10" ht="16" hidden="1" customHeight="1">
      <c r="J257" s="5" t="str">
        <f t="array" ref="J2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8" spans="10:10" ht="16" hidden="1" customHeight="1">
      <c r="J258" s="5" t="str">
        <f t="array" ref="J2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9" spans="10:10" ht="16" hidden="1" customHeight="1">
      <c r="J259" s="5" t="str">
        <f t="array" ref="J2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0" spans="10:10" ht="16" hidden="1" customHeight="1">
      <c r="J260" s="5" t="str">
        <f t="array" ref="J2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1" spans="10:10" ht="16" hidden="1" customHeight="1">
      <c r="J261" s="5" t="str">
        <f t="array" ref="J2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2" spans="10:10" ht="16" hidden="1" customHeight="1">
      <c r="J262" s="5" t="str">
        <f t="array" ref="J2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3" spans="10:10" ht="16" hidden="1" customHeight="1">
      <c r="J263" s="5" t="str">
        <f t="array" ref="J2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4" spans="10:10" ht="16" hidden="1" customHeight="1">
      <c r="J264" s="5" t="str">
        <f t="array" ref="J2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5" spans="10:10" ht="16" hidden="1" customHeight="1">
      <c r="J265" s="5" t="str">
        <f t="array" ref="J2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6" spans="10:10" ht="16" hidden="1" customHeight="1">
      <c r="J266" s="5" t="str">
        <f t="array" ref="J2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7" spans="10:10" ht="16" hidden="1" customHeight="1">
      <c r="J267" s="5" t="str">
        <f t="array" ref="J2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8" spans="10:10" ht="16" hidden="1" customHeight="1">
      <c r="J268" s="5" t="str">
        <f t="array" ref="J2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9" spans="10:10" ht="16" hidden="1" customHeight="1">
      <c r="J269" s="5" t="str">
        <f t="array" ref="J2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0" spans="10:10" ht="16" hidden="1" customHeight="1">
      <c r="J270" s="5" t="str">
        <f t="array" ref="J2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1" spans="10:10" ht="16" hidden="1" customHeight="1">
      <c r="J271" s="5" t="str">
        <f t="array" ref="J2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2" spans="10:10" ht="16" hidden="1" customHeight="1">
      <c r="J272" s="5" t="str">
        <f t="array" ref="J2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3" spans="10:10" ht="16" hidden="1" customHeight="1">
      <c r="J273" s="5" t="str">
        <f t="array" ref="J2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4" spans="10:10" ht="16" hidden="1" customHeight="1">
      <c r="J274" s="5" t="str">
        <f t="array" ref="J2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5" spans="10:10" ht="16" hidden="1" customHeight="1">
      <c r="J275" s="5" t="str">
        <f t="array" ref="J2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6" spans="10:10" ht="16" hidden="1" customHeight="1">
      <c r="J276" s="5" t="str">
        <f t="array" ref="J2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7" spans="10:10" ht="16" hidden="1" customHeight="1">
      <c r="J277" s="5" t="str">
        <f t="array" ref="J2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8" spans="10:10" ht="16" hidden="1" customHeight="1">
      <c r="J278" s="5" t="str">
        <f t="array" ref="J2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9" spans="10:10" ht="16" hidden="1" customHeight="1">
      <c r="J279" s="5" t="str">
        <f t="array" ref="J2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0" spans="10:10" ht="16" hidden="1" customHeight="1">
      <c r="J280" s="5" t="str">
        <f t="array" ref="J2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1" spans="10:10" ht="16" hidden="1" customHeight="1">
      <c r="J281" s="5" t="str">
        <f t="array" ref="J2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2" spans="10:10" ht="16" hidden="1" customHeight="1">
      <c r="J282" s="5" t="str">
        <f t="array" ref="J2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3" spans="10:10" ht="16" hidden="1" customHeight="1">
      <c r="J283" s="5" t="str">
        <f t="array" ref="J2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4" spans="10:10" ht="16" hidden="1" customHeight="1">
      <c r="J284" s="5" t="str">
        <f t="array" ref="J2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5" spans="10:10" ht="16" hidden="1" customHeight="1">
      <c r="J285" s="5" t="str">
        <f t="array" ref="J2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6" spans="10:10" ht="16" hidden="1" customHeight="1">
      <c r="J286" s="5" t="str">
        <f t="array" ref="J2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7" spans="10:10" ht="16" hidden="1" customHeight="1">
      <c r="J287" s="5" t="str">
        <f t="array" ref="J2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8" spans="10:10" ht="16" hidden="1" customHeight="1">
      <c r="J288" s="5" t="str">
        <f t="array" ref="J2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9" spans="10:10" ht="16" hidden="1" customHeight="1">
      <c r="J289" s="5" t="str">
        <f t="array" ref="J2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0" spans="10:10" ht="16" hidden="1" customHeight="1">
      <c r="J290" s="5" t="str">
        <f t="array" ref="J2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1" spans="10:10" ht="16" hidden="1" customHeight="1">
      <c r="J291" s="5" t="str">
        <f t="array" ref="J2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2" spans="10:10" ht="16" hidden="1" customHeight="1">
      <c r="J292" s="5" t="str">
        <f t="array" ref="J2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3" spans="10:10" ht="16" hidden="1" customHeight="1">
      <c r="J293" s="5" t="str">
        <f t="array" ref="J2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4" spans="10:10" ht="16" hidden="1" customHeight="1">
      <c r="J294" s="5" t="str">
        <f t="array" ref="J2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5" spans="10:10" ht="16" hidden="1" customHeight="1">
      <c r="J295" s="5" t="str">
        <f t="array" ref="J2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6" spans="10:10" ht="16" hidden="1" customHeight="1">
      <c r="J296" s="5" t="str">
        <f t="array" ref="J2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7" spans="10:10" ht="16" hidden="1" customHeight="1">
      <c r="J297" s="5" t="str">
        <f t="array" ref="J2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8" spans="10:10" ht="16" hidden="1" customHeight="1">
      <c r="J298" s="5" t="str">
        <f t="array" ref="J2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9" spans="10:10" ht="16" hidden="1" customHeight="1">
      <c r="J299" s="5" t="str">
        <f t="array" ref="J2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0" spans="10:10" ht="16" hidden="1" customHeight="1">
      <c r="J300" s="5" t="str">
        <f t="array" ref="J3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1" spans="10:10" ht="16" hidden="1" customHeight="1">
      <c r="J301" s="5" t="str">
        <f t="array" ref="J3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2" spans="10:10" ht="16" hidden="1" customHeight="1">
      <c r="J302" s="5" t="str">
        <f t="array" ref="J3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3" spans="10:10" ht="16" hidden="1" customHeight="1">
      <c r="J303" s="5" t="str">
        <f t="array" ref="J3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4" spans="10:10" ht="16" hidden="1" customHeight="1">
      <c r="J304" s="5" t="str">
        <f t="array" ref="J3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5" spans="10:10" ht="16" hidden="1" customHeight="1">
      <c r="J305" s="5" t="str">
        <f t="array" ref="J3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6" spans="10:10" ht="16" hidden="1" customHeight="1">
      <c r="J306" s="5" t="str">
        <f t="array" ref="J3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7" spans="10:10" ht="16" hidden="1" customHeight="1">
      <c r="J307" s="5" t="str">
        <f t="array" ref="J3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8" spans="10:10" ht="16" hidden="1" customHeight="1">
      <c r="J308" s="5" t="str">
        <f t="array" ref="J3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9" spans="10:10" ht="16" hidden="1" customHeight="1">
      <c r="J309" s="5" t="str">
        <f t="array" ref="J3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0" spans="10:10" ht="16" hidden="1" customHeight="1">
      <c r="J310" s="5" t="str">
        <f t="array" ref="J3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1" spans="10:10" ht="16" hidden="1" customHeight="1">
      <c r="J311" s="5" t="str">
        <f t="array" ref="J3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2" spans="10:10" ht="16" hidden="1" customHeight="1">
      <c r="J312" s="5" t="str">
        <f t="array" ref="J3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3" spans="10:10" ht="16" hidden="1" customHeight="1">
      <c r="J313" s="5" t="str">
        <f t="array" ref="J3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4" spans="10:10" ht="16" hidden="1" customHeight="1">
      <c r="J314" s="5" t="str">
        <f t="array" ref="J3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5" spans="10:10" ht="16" hidden="1" customHeight="1">
      <c r="J315" s="5" t="str">
        <f t="array" ref="J3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6" spans="10:10" ht="16" hidden="1" customHeight="1">
      <c r="J316" s="5" t="str">
        <f t="array" ref="J3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7" spans="10:10" ht="16" hidden="1" customHeight="1">
      <c r="J317" s="5" t="str">
        <f t="array" ref="J3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8" spans="10:10" ht="16" hidden="1" customHeight="1">
      <c r="J318" s="5" t="str">
        <f t="array" ref="J3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9" spans="10:10" ht="16" hidden="1" customHeight="1">
      <c r="J319" s="5" t="str">
        <f t="array" ref="J3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0" spans="10:10" ht="16" hidden="1" customHeight="1">
      <c r="J320" s="5" t="str">
        <f t="array" ref="J3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1" spans="10:10" ht="16" hidden="1" customHeight="1">
      <c r="J321" s="5" t="str">
        <f t="array" ref="J3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2" spans="10:10" ht="16" hidden="1" customHeight="1">
      <c r="J322" s="5" t="str">
        <f t="array" ref="J3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3" spans="10:10" ht="16" hidden="1" customHeight="1">
      <c r="J323" s="5" t="str">
        <f t="array" ref="J3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4" spans="10:10" ht="16" hidden="1" customHeight="1">
      <c r="J324" s="5" t="str">
        <f t="array" ref="J3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5" spans="10:10" ht="16" hidden="1" customHeight="1">
      <c r="J325" s="5" t="str">
        <f t="array" ref="J3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6" spans="10:10" ht="16" hidden="1" customHeight="1">
      <c r="J326" s="5" t="str">
        <f t="array" ref="J3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7" spans="10:10" ht="16" hidden="1" customHeight="1">
      <c r="J327" s="5" t="str">
        <f t="array" ref="J3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8" spans="10:10" ht="16" hidden="1" customHeight="1">
      <c r="J328" s="5" t="str">
        <f t="array" ref="J3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9" spans="10:10" ht="16" hidden="1" customHeight="1">
      <c r="J329" s="5" t="str">
        <f t="array" ref="J3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0" spans="10:10" ht="16" hidden="1" customHeight="1">
      <c r="J330" s="5" t="str">
        <f t="array" ref="J3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1" spans="10:10" ht="16" hidden="1" customHeight="1">
      <c r="J331" s="5" t="str">
        <f t="array" ref="J3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2" spans="10:10" ht="16" hidden="1" customHeight="1">
      <c r="J332" s="5" t="str">
        <f t="array" ref="J3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3" spans="10:10" ht="16" hidden="1" customHeight="1">
      <c r="J333" s="5" t="str">
        <f t="array" ref="J3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4" spans="10:10" ht="16" hidden="1" customHeight="1">
      <c r="J334" s="5" t="str">
        <f t="array" ref="J3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5" spans="10:10" ht="16" hidden="1" customHeight="1">
      <c r="J335" s="5" t="str">
        <f t="array" ref="J3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6" spans="10:10" ht="16" hidden="1" customHeight="1">
      <c r="J336" s="5" t="str">
        <f t="array" ref="J3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7" spans="10:10" ht="16" hidden="1" customHeight="1">
      <c r="J337" s="5" t="str">
        <f t="array" ref="J3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8" spans="10:10" ht="16" hidden="1" customHeight="1">
      <c r="J338" s="5" t="str">
        <f t="array" ref="J3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9" spans="10:10" ht="16" hidden="1" customHeight="1">
      <c r="J339" s="5" t="str">
        <f t="array" ref="J3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0" spans="10:10" ht="16" hidden="1" customHeight="1">
      <c r="J340" s="5" t="str">
        <f t="array" ref="J3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1" spans="10:10" ht="16" hidden="1" customHeight="1">
      <c r="J341" s="5" t="str">
        <f t="array" ref="J3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2" spans="10:10" ht="16" hidden="1" customHeight="1">
      <c r="J342" s="5" t="str">
        <f t="array" ref="J3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3" spans="10:10" ht="16" hidden="1" customHeight="1">
      <c r="J343" s="5" t="str">
        <f t="array" ref="J3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4" spans="10:10" ht="16" hidden="1" customHeight="1">
      <c r="J344" s="5" t="str">
        <f t="array" ref="J3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5" spans="10:10" ht="16" hidden="1" customHeight="1">
      <c r="J345" s="5" t="str">
        <f t="array" ref="J3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6" spans="10:10" ht="16" hidden="1" customHeight="1">
      <c r="J346" s="5" t="str">
        <f t="array" ref="J3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7" spans="10:10" ht="16" hidden="1" customHeight="1">
      <c r="J347" s="5" t="str">
        <f t="array" ref="J3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8" spans="10:10" ht="16" hidden="1" customHeight="1">
      <c r="J348" s="5" t="str">
        <f t="array" ref="J3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9" spans="10:10" ht="16" hidden="1" customHeight="1">
      <c r="J349" s="5" t="str">
        <f t="array" ref="J3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0" spans="10:10" ht="16" hidden="1" customHeight="1">
      <c r="J350" s="5" t="str">
        <f t="array" ref="J3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1" spans="10:10" ht="16" hidden="1" customHeight="1">
      <c r="J351" s="5" t="str">
        <f t="array" ref="J3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2" spans="10:10" ht="16" hidden="1" customHeight="1">
      <c r="J352" s="5" t="str">
        <f t="array" ref="J3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3" spans="10:10" ht="16" hidden="1" customHeight="1">
      <c r="J353" s="5" t="str">
        <f t="array" ref="J3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4" spans="10:10" ht="16" hidden="1" customHeight="1">
      <c r="J354" s="5" t="str">
        <f t="array" ref="J3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5" spans="10:10" ht="16" hidden="1" customHeight="1">
      <c r="J355" s="5" t="str">
        <f t="array" ref="J3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6" spans="10:10" ht="16" hidden="1" customHeight="1">
      <c r="J356" s="5" t="str">
        <f t="array" ref="J3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7" spans="10:10" ht="16" hidden="1" customHeight="1">
      <c r="J357" s="5" t="str">
        <f t="array" ref="J3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8" spans="10:10" ht="16" hidden="1" customHeight="1">
      <c r="J358" s="5" t="str">
        <f t="array" ref="J3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9" spans="10:10" ht="16" hidden="1" customHeight="1">
      <c r="J359" s="5" t="str">
        <f t="array" ref="J3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0" spans="10:10" ht="16" hidden="1" customHeight="1">
      <c r="J360" s="5" t="str">
        <f t="array" ref="J3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1" spans="10:10" ht="16" hidden="1" customHeight="1">
      <c r="J361" s="5" t="str">
        <f t="array" ref="J3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2" spans="10:10" ht="16" hidden="1" customHeight="1">
      <c r="J362" s="5" t="str">
        <f t="array" ref="J3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3" spans="10:10" ht="16" hidden="1" customHeight="1">
      <c r="J363" s="5" t="str">
        <f t="array" ref="J3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4" spans="10:10" ht="16" hidden="1" customHeight="1">
      <c r="J364" s="5" t="str">
        <f t="array" ref="J3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5" spans="10:10" ht="16" hidden="1" customHeight="1">
      <c r="J365" s="5" t="str">
        <f t="array" ref="J3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6" spans="10:10" ht="16" hidden="1" customHeight="1">
      <c r="J366" s="5" t="str">
        <f t="array" ref="J3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7" spans="10:10" ht="16" hidden="1" customHeight="1">
      <c r="J367" s="5" t="str">
        <f t="array" ref="J3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8" spans="10:10" ht="16" hidden="1" customHeight="1">
      <c r="J368" s="5" t="str">
        <f t="array" ref="J3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9" spans="10:10" ht="16" hidden="1" customHeight="1">
      <c r="J369" s="5" t="str">
        <f t="array" ref="J3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0" spans="10:10" ht="16" hidden="1" customHeight="1">
      <c r="J370" s="5" t="str">
        <f t="array" ref="J3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1" spans="10:10" ht="16" hidden="1" customHeight="1">
      <c r="J371" s="5" t="str">
        <f t="array" ref="J3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2" spans="10:10" ht="16" hidden="1" customHeight="1">
      <c r="J372" s="5" t="str">
        <f t="array" ref="J3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3" spans="10:10" ht="16" hidden="1" customHeight="1">
      <c r="J373" s="5" t="str">
        <f t="array" ref="J3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4" spans="10:10" ht="16" hidden="1" customHeight="1">
      <c r="J374" s="5" t="str">
        <f t="array" ref="J3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5" spans="10:10" ht="16" hidden="1" customHeight="1">
      <c r="J375" s="5" t="str">
        <f t="array" ref="J3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6" spans="10:10" ht="16" hidden="1" customHeight="1">
      <c r="J376" s="5" t="str">
        <f t="array" ref="J3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7" spans="10:10" ht="16" hidden="1" customHeight="1">
      <c r="J377" s="5" t="str">
        <f t="array" ref="J3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8" spans="10:10" ht="16" hidden="1" customHeight="1">
      <c r="J378" s="5" t="str">
        <f t="array" ref="J3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9" spans="10:10" ht="16" hidden="1" customHeight="1">
      <c r="J379" s="5" t="str">
        <f t="array" ref="J3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0" spans="10:10" ht="16" hidden="1" customHeight="1">
      <c r="J380" s="5" t="str">
        <f t="array" ref="J3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1" spans="10:10" ht="16" hidden="1" customHeight="1">
      <c r="J381" s="5" t="str">
        <f t="array" ref="J3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2" spans="10:10" ht="16" hidden="1" customHeight="1">
      <c r="J382" s="5" t="str">
        <f t="array" ref="J3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3" spans="10:10" ht="16" hidden="1" customHeight="1">
      <c r="J383" s="5" t="str">
        <f t="array" ref="J3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4" spans="10:10" ht="16" hidden="1" customHeight="1">
      <c r="J384" s="5" t="str">
        <f t="array" ref="J3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5" spans="10:10" ht="16" hidden="1" customHeight="1">
      <c r="J385" s="5" t="str">
        <f t="array" ref="J3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6" spans="10:10" ht="16" hidden="1" customHeight="1">
      <c r="J386" s="5" t="str">
        <f t="array" ref="J3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7" spans="10:10" ht="16" hidden="1" customHeight="1">
      <c r="J387" s="5" t="str">
        <f t="array" ref="J3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8" spans="10:10" ht="16" hidden="1" customHeight="1">
      <c r="J388" s="5" t="str">
        <f t="array" ref="J3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9" spans="10:10" ht="16" hidden="1" customHeight="1">
      <c r="J389" s="5" t="str">
        <f t="array" ref="J3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0" spans="10:10" ht="16" hidden="1" customHeight="1">
      <c r="J390" s="5" t="str">
        <f t="array" ref="J3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1" spans="10:10" ht="16" hidden="1" customHeight="1">
      <c r="J391" s="5" t="str">
        <f t="array" ref="J3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2" spans="10:10" ht="16" hidden="1" customHeight="1">
      <c r="J392" s="5" t="str">
        <f t="array" ref="J3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3" spans="10:10" ht="16" hidden="1" customHeight="1">
      <c r="J393" s="5" t="str">
        <f t="array" ref="J3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4" spans="10:10" ht="16" hidden="1" customHeight="1">
      <c r="J394" s="5" t="str">
        <f t="array" ref="J3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5" spans="10:10" ht="16" hidden="1" customHeight="1">
      <c r="J395" s="5" t="str">
        <f t="array" ref="J3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6" spans="10:10" ht="16" hidden="1" customHeight="1">
      <c r="J396" s="5" t="str">
        <f t="array" ref="J3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7" spans="10:10" ht="16" hidden="1" customHeight="1">
      <c r="J397" s="5" t="str">
        <f t="array" ref="J3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8" spans="10:10" ht="16" hidden="1" customHeight="1">
      <c r="J398" s="5" t="str">
        <f t="array" ref="J3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9" spans="10:10" ht="16" hidden="1" customHeight="1">
      <c r="J399" s="5" t="str">
        <f t="array" ref="J3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0" spans="10:10" ht="16" hidden="1" customHeight="1">
      <c r="J400" s="5" t="str">
        <f t="array" ref="J4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1" spans="10:10" ht="16" hidden="1" customHeight="1">
      <c r="J401" s="5" t="str">
        <f t="array" ref="J4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2" spans="10:10" ht="16" hidden="1" customHeight="1">
      <c r="J402" s="5" t="str">
        <f t="array" ref="J4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3" spans="10:10" ht="16" hidden="1" customHeight="1">
      <c r="J403" s="5" t="str">
        <f t="array" ref="J4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4" spans="10:10" ht="16" hidden="1" customHeight="1">
      <c r="J404" s="5" t="str">
        <f t="array" ref="J4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5" spans="10:10" ht="16" hidden="1" customHeight="1">
      <c r="J405" s="5" t="str">
        <f t="array" ref="J4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6" spans="10:10" ht="16" hidden="1" customHeight="1">
      <c r="J406" s="5" t="str">
        <f t="array" ref="J4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7" spans="10:10" ht="16" hidden="1" customHeight="1">
      <c r="J407" s="5" t="str">
        <f t="array" ref="J4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8" spans="10:10" ht="16" hidden="1" customHeight="1">
      <c r="J408" s="5" t="str">
        <f t="array" ref="J4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9" spans="10:10" ht="16" hidden="1" customHeight="1">
      <c r="J409" s="5" t="str">
        <f t="array" ref="J4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0" spans="10:10" ht="16" hidden="1" customHeight="1">
      <c r="J410" s="5" t="str">
        <f t="array" ref="J4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1" spans="10:10" ht="16" hidden="1" customHeight="1">
      <c r="J411" s="5" t="str">
        <f t="array" ref="J4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2" spans="10:10" ht="16" hidden="1" customHeight="1">
      <c r="J412" s="5" t="str">
        <f t="array" ref="J4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3" spans="10:10" ht="16" hidden="1" customHeight="1">
      <c r="J413" s="5" t="str">
        <f t="array" ref="J4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4" spans="10:10" ht="16" hidden="1" customHeight="1">
      <c r="J414" s="5" t="str">
        <f t="array" ref="J4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5" spans="10:10" ht="16" hidden="1" customHeight="1">
      <c r="J415" s="5" t="str">
        <f t="array" ref="J4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6" spans="10:10" ht="16" hidden="1" customHeight="1">
      <c r="J416" s="5" t="str">
        <f t="array" ref="J4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7" spans="10:10" ht="16" hidden="1" customHeight="1">
      <c r="J417" s="5" t="str">
        <f t="array" ref="J4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8" spans="10:10" ht="16" hidden="1" customHeight="1">
      <c r="J418" s="5" t="str">
        <f t="array" ref="J4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9" spans="10:10" ht="16" hidden="1" customHeight="1">
      <c r="J419" s="5" t="str">
        <f t="array" ref="J4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0" spans="10:10" ht="16" hidden="1" customHeight="1">
      <c r="J420" s="5" t="str">
        <f t="array" ref="J4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1" spans="10:10" ht="16" hidden="1" customHeight="1">
      <c r="J421" s="5" t="str">
        <f t="array" ref="J4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2" spans="10:10" ht="16" hidden="1" customHeight="1">
      <c r="J422" s="5" t="str">
        <f t="array" ref="J4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3" spans="10:10" ht="16" hidden="1" customHeight="1">
      <c r="J423" s="5" t="str">
        <f t="array" ref="J4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4" spans="10:10" ht="16" hidden="1" customHeight="1">
      <c r="J424" s="5" t="str">
        <f t="array" ref="J4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5" spans="10:10" ht="16" hidden="1" customHeight="1">
      <c r="J425" s="5" t="str">
        <f t="array" ref="J4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6" spans="10:10" ht="16" hidden="1" customHeight="1">
      <c r="J426" s="5" t="str">
        <f t="array" ref="J4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7" spans="10:10" ht="16" hidden="1" customHeight="1">
      <c r="J427" s="5" t="str">
        <f t="array" ref="J4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8" spans="10:10" ht="16" hidden="1" customHeight="1">
      <c r="J428" s="5" t="str">
        <f t="array" ref="J4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9" spans="10:10" ht="16" hidden="1" customHeight="1">
      <c r="J429" s="5" t="str">
        <f t="array" ref="J4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0" spans="10:10" ht="16" hidden="1" customHeight="1">
      <c r="J430" s="5" t="str">
        <f t="array" ref="J4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1" spans="10:10" ht="16" hidden="1" customHeight="1">
      <c r="J431" s="5" t="str">
        <f t="array" ref="J4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2" spans="10:10" ht="16" hidden="1" customHeight="1">
      <c r="J432" s="5" t="str">
        <f t="array" ref="J4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3" spans="10:10" ht="16" hidden="1" customHeight="1">
      <c r="J433" s="5" t="str">
        <f t="array" ref="J4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4" spans="10:10" ht="16" hidden="1" customHeight="1">
      <c r="J434" s="5" t="str">
        <f t="array" ref="J4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5" spans="10:10" ht="16" hidden="1" customHeight="1">
      <c r="J435" s="5" t="str">
        <f t="array" ref="J4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6" spans="10:10" ht="16" hidden="1" customHeight="1">
      <c r="J436" s="5" t="str">
        <f t="array" ref="J4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7" spans="10:10" ht="16" hidden="1" customHeight="1">
      <c r="J437" s="5" t="str">
        <f t="array" ref="J4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8" spans="10:10" ht="16" hidden="1" customHeight="1">
      <c r="J438" s="5" t="str">
        <f t="array" ref="J4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9" spans="10:10" ht="16" hidden="1" customHeight="1">
      <c r="J439" s="5" t="str">
        <f t="array" ref="J4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0" spans="10:10" ht="16" hidden="1" customHeight="1">
      <c r="J440" s="5" t="str">
        <f t="array" ref="J4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1" spans="10:10" ht="16" hidden="1" customHeight="1">
      <c r="J441" s="5" t="str">
        <f t="array" ref="J4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2" spans="10:10" ht="16" hidden="1" customHeight="1">
      <c r="J442" s="5" t="str">
        <f t="array" ref="J4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3" spans="10:10" ht="16" hidden="1" customHeight="1">
      <c r="J443" s="5" t="str">
        <f t="array" ref="J4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4" spans="10:10" ht="16" hidden="1" customHeight="1">
      <c r="J444" s="5" t="str">
        <f t="array" ref="J4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5" spans="10:10" ht="16" hidden="1" customHeight="1">
      <c r="J445" s="5" t="str">
        <f t="array" ref="J4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6" spans="10:10" ht="16" hidden="1" customHeight="1">
      <c r="J446" s="5" t="str">
        <f t="array" ref="J4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7" spans="10:10" ht="16" hidden="1" customHeight="1">
      <c r="J447" s="5" t="str">
        <f t="array" ref="J4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8" spans="10:10" ht="16" hidden="1" customHeight="1">
      <c r="J448" s="5" t="str">
        <f t="array" ref="J4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9" spans="10:10" ht="16" hidden="1" customHeight="1">
      <c r="J449" s="5" t="str">
        <f t="array" ref="J4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0" spans="10:10" ht="16" hidden="1" customHeight="1">
      <c r="J450" s="5" t="str">
        <f t="array" ref="J4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1" spans="10:10" ht="16" hidden="1" customHeight="1">
      <c r="J451" s="5" t="str">
        <f t="array" ref="J4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2" spans="10:10" ht="16" hidden="1" customHeight="1">
      <c r="J452" s="5" t="str">
        <f t="array" ref="J4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3" spans="10:10" ht="16" hidden="1" customHeight="1">
      <c r="J453" s="5" t="str">
        <f t="array" ref="J4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4" spans="10:10" ht="16" hidden="1" customHeight="1">
      <c r="J454" s="5" t="str">
        <f t="array" ref="J4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5" spans="10:10" ht="16" hidden="1" customHeight="1">
      <c r="J455" s="5" t="str">
        <f t="array" ref="J4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6" spans="10:10" ht="16" hidden="1" customHeight="1">
      <c r="J456" s="5" t="str">
        <f t="array" ref="J4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7" spans="10:10" ht="16" hidden="1" customHeight="1">
      <c r="J457" s="5" t="str">
        <f t="array" ref="J4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8" spans="10:10" ht="16" hidden="1" customHeight="1">
      <c r="J458" s="5" t="str">
        <f t="array" ref="J4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9" spans="10:10" ht="16" hidden="1" customHeight="1">
      <c r="J459" s="5" t="str">
        <f t="array" ref="J4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0" spans="10:10" ht="16" hidden="1" customHeight="1">
      <c r="J460" s="5" t="str">
        <f t="array" ref="J4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1" spans="10:10" ht="16" hidden="1" customHeight="1">
      <c r="J461" s="5" t="str">
        <f t="array" ref="J4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2" spans="10:10" ht="16" hidden="1" customHeight="1">
      <c r="J462" s="5" t="str">
        <f t="array" ref="J4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3" spans="10:10" ht="16" hidden="1" customHeight="1">
      <c r="J463" s="5" t="str">
        <f t="array" ref="J4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4" spans="10:10" ht="16" hidden="1" customHeight="1">
      <c r="J464" s="5" t="str">
        <f t="array" ref="J4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5" spans="10:10" ht="16" hidden="1" customHeight="1">
      <c r="J465" s="5" t="str">
        <f t="array" ref="J4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6" spans="10:10" ht="16" hidden="1" customHeight="1">
      <c r="J466" s="5" t="str">
        <f t="array" ref="J4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7" spans="10:10" ht="16" hidden="1" customHeight="1">
      <c r="J467" s="5" t="str">
        <f t="array" ref="J4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8" spans="10:10" ht="16" hidden="1" customHeight="1">
      <c r="J468" s="5" t="str">
        <f t="array" ref="J4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9" spans="10:10" ht="16" hidden="1" customHeight="1">
      <c r="J469" s="5" t="str">
        <f t="array" ref="J4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0" spans="10:10" ht="16" hidden="1" customHeight="1">
      <c r="J470" s="5" t="str">
        <f t="array" ref="J4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1" spans="10:10" ht="16" hidden="1" customHeight="1">
      <c r="J471" s="5" t="str">
        <f t="array" ref="J4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2" spans="10:10" ht="16" hidden="1" customHeight="1">
      <c r="J472" s="5" t="str">
        <f t="array" ref="J4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3" spans="10:10" ht="16" hidden="1" customHeight="1">
      <c r="J473" s="5" t="str">
        <f t="array" ref="J4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4" spans="10:10" ht="16" hidden="1" customHeight="1">
      <c r="J474" s="5" t="str">
        <f t="array" ref="J4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5" spans="10:10" ht="16" hidden="1" customHeight="1">
      <c r="J475" s="5" t="str">
        <f t="array" ref="J4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6" spans="10:10" ht="16" hidden="1" customHeight="1">
      <c r="J476" s="5" t="str">
        <f t="array" ref="J4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7" spans="10:10" ht="16" hidden="1" customHeight="1">
      <c r="J477" s="5" t="str">
        <f t="array" ref="J4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8" spans="10:10" ht="16" hidden="1" customHeight="1">
      <c r="J478" s="5" t="str">
        <f t="array" ref="J4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9" spans="10:10" ht="16" hidden="1" customHeight="1">
      <c r="J479" s="5" t="str">
        <f t="array" ref="J4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0" spans="10:10" ht="16" hidden="1" customHeight="1">
      <c r="J480" s="5" t="str">
        <f t="array" ref="J4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1" spans="10:10" ht="16" hidden="1" customHeight="1">
      <c r="J481" s="5" t="str">
        <f t="array" ref="J4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2" spans="10:10" ht="16" hidden="1" customHeight="1">
      <c r="J482" s="5" t="str">
        <f t="array" ref="J4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3" spans="10:10" ht="16" hidden="1" customHeight="1">
      <c r="J483" s="5" t="str">
        <f t="array" ref="J4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4" spans="10:10" ht="16" hidden="1" customHeight="1">
      <c r="J484" s="5" t="str">
        <f t="array" ref="J4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5" spans="10:10" ht="16" hidden="1" customHeight="1">
      <c r="J485" s="5" t="str">
        <f t="array" ref="J4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6" spans="10:10" ht="16" hidden="1" customHeight="1">
      <c r="J486" s="5" t="str">
        <f t="array" ref="J4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7" spans="10:10" ht="16" hidden="1" customHeight="1">
      <c r="J487" s="5" t="str">
        <f t="array" ref="J4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8" spans="10:10" ht="16" hidden="1" customHeight="1">
      <c r="J488" s="5" t="str">
        <f t="array" ref="J4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9" spans="10:10" ht="16" hidden="1" customHeight="1">
      <c r="J489" s="5" t="str">
        <f t="array" ref="J4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0" spans="10:10" ht="16" hidden="1" customHeight="1">
      <c r="J490" s="5" t="str">
        <f t="array" ref="J4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1" spans="10:10" ht="16" hidden="1" customHeight="1">
      <c r="J491" s="5" t="str">
        <f t="array" ref="J4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2" spans="10:10" ht="16" hidden="1" customHeight="1">
      <c r="J492" s="5" t="str">
        <f t="array" ref="J4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3" spans="10:10" ht="16" hidden="1" customHeight="1">
      <c r="J493" s="5" t="str">
        <f t="array" ref="J4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4" spans="10:10" ht="16" hidden="1" customHeight="1">
      <c r="J494" s="5" t="str">
        <f t="array" ref="J4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5" spans="10:10" ht="16" hidden="1" customHeight="1">
      <c r="J495" s="5" t="str">
        <f t="array" ref="J4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6" spans="10:10" ht="16" hidden="1" customHeight="1">
      <c r="J496" s="5" t="str">
        <f t="array" ref="J4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7" spans="10:10" ht="16" hidden="1" customHeight="1">
      <c r="J497" s="5" t="str">
        <f t="array" ref="J4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8" spans="10:10" ht="16" hidden="1" customHeight="1">
      <c r="J498" s="5" t="str">
        <f t="array" ref="J4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9" spans="10:10" ht="16" hidden="1" customHeight="1">
      <c r="J499" s="5" t="str">
        <f t="array" ref="J4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0" spans="10:10" ht="16" hidden="1" customHeight="1">
      <c r="J500" s="5" t="str">
        <f t="array" ref="J5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1" spans="10:10" ht="16" hidden="1" customHeight="1">
      <c r="J501" s="5" t="str">
        <f t="array" ref="J5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2" spans="10:10" ht="16" hidden="1" customHeight="1">
      <c r="J502" s="5" t="str">
        <f t="array" ref="J5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3" spans="10:10" ht="16" hidden="1" customHeight="1">
      <c r="J503" s="5" t="str">
        <f t="array" ref="J5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4" spans="10:10" ht="16" hidden="1" customHeight="1">
      <c r="J504" s="5" t="str">
        <f t="array" ref="J5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5" spans="10:10" ht="16" hidden="1" customHeight="1">
      <c r="J505" s="5" t="str">
        <f t="array" ref="J5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6" spans="10:10" ht="16" hidden="1" customHeight="1">
      <c r="J506" s="5" t="str">
        <f t="array" ref="J5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7" spans="10:10" ht="16" hidden="1" customHeight="1">
      <c r="J507" s="5" t="str">
        <f t="array" ref="J5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8" spans="10:10" ht="16" hidden="1" customHeight="1">
      <c r="J508" s="5" t="str">
        <f t="array" ref="J5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9" spans="10:10" ht="16" hidden="1" customHeight="1">
      <c r="J509" s="5" t="str">
        <f t="array" ref="J5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0" spans="10:10" ht="16" hidden="1" customHeight="1">
      <c r="J510" s="5" t="str">
        <f t="array" ref="J5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1" spans="10:10" ht="16" hidden="1" customHeight="1">
      <c r="J511" s="5" t="str">
        <f t="array" ref="J5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2" spans="10:10" ht="16" hidden="1" customHeight="1">
      <c r="J512" s="5" t="str">
        <f t="array" ref="J5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3" spans="10:10" ht="16" hidden="1" customHeight="1">
      <c r="J513" s="5" t="str">
        <f t="array" ref="J5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4" spans="10:10" ht="16" hidden="1" customHeight="1">
      <c r="J514" s="5" t="str">
        <f t="array" ref="J5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5" spans="10:10" ht="16" hidden="1" customHeight="1">
      <c r="J515" s="5" t="str">
        <f t="array" ref="J5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6" spans="10:10" ht="16" hidden="1" customHeight="1">
      <c r="J516" s="5" t="str">
        <f t="array" ref="J5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7" spans="10:10" ht="16" hidden="1" customHeight="1">
      <c r="J517" s="5" t="str">
        <f t="array" ref="J5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8" spans="10:10" ht="16" hidden="1" customHeight="1">
      <c r="J518" s="5" t="str">
        <f t="array" ref="J5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9" spans="10:10" ht="16" hidden="1" customHeight="1">
      <c r="J519" s="5" t="str">
        <f t="array" ref="J5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0" spans="10:10" ht="16" hidden="1" customHeight="1">
      <c r="J520" s="5" t="str">
        <f t="array" ref="J5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1" spans="10:10" ht="16" hidden="1" customHeight="1">
      <c r="J521" s="5" t="str">
        <f t="array" ref="J5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2" spans="10:10" ht="16" hidden="1" customHeight="1">
      <c r="J522" s="5" t="str">
        <f t="array" ref="J5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3" spans="10:10" ht="16" hidden="1" customHeight="1">
      <c r="J523" s="5" t="str">
        <f t="array" ref="J5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4" spans="10:10" ht="16" hidden="1" customHeight="1">
      <c r="J524" s="5" t="str">
        <f t="array" ref="J5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5" spans="10:10" ht="16" hidden="1" customHeight="1">
      <c r="J525" s="5" t="str">
        <f t="array" ref="J5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6" spans="10:10" ht="16" hidden="1" customHeight="1">
      <c r="J526" s="5" t="str">
        <f t="array" ref="J5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7" spans="10:10" ht="16" hidden="1" customHeight="1">
      <c r="J527" s="5" t="str">
        <f t="array" ref="J5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8" spans="10:10" ht="16" hidden="1" customHeight="1">
      <c r="J528" s="5" t="str">
        <f t="array" ref="J5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9" spans="10:10" ht="16" hidden="1" customHeight="1">
      <c r="J529" s="5" t="str">
        <f t="array" ref="J5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0" spans="10:10" ht="16" hidden="1" customHeight="1">
      <c r="J530" s="5" t="str">
        <f t="array" ref="J5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1" spans="10:10" ht="16" hidden="1" customHeight="1">
      <c r="J531" s="5" t="str">
        <f t="array" ref="J5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2" spans="10:10" ht="16" hidden="1" customHeight="1">
      <c r="J532" s="5" t="str">
        <f t="array" ref="J5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3" spans="10:10" ht="16" hidden="1" customHeight="1">
      <c r="J533" s="5" t="str">
        <f t="array" ref="J5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4" spans="10:10" ht="16" hidden="1" customHeight="1">
      <c r="J534" s="5" t="str">
        <f t="array" ref="J5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5" spans="10:10" ht="16" hidden="1" customHeight="1">
      <c r="J535" s="5" t="str">
        <f t="array" ref="J5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6" spans="10:10" ht="16" hidden="1" customHeight="1">
      <c r="J536" s="5" t="str">
        <f t="array" ref="J5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7" spans="10:10" ht="16" hidden="1" customHeight="1">
      <c r="J537" s="5" t="str">
        <f t="array" ref="J5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8" spans="10:10" ht="16" hidden="1" customHeight="1">
      <c r="J538" s="5" t="str">
        <f t="array" ref="J5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9" spans="10:10" ht="16" hidden="1" customHeight="1">
      <c r="J539" s="5" t="str">
        <f t="array" ref="J5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0" spans="10:10" ht="16" hidden="1" customHeight="1">
      <c r="J540" s="5" t="str">
        <f t="array" ref="J5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1" spans="10:10" ht="16" hidden="1" customHeight="1">
      <c r="J541" s="5" t="str">
        <f t="array" ref="J5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2" spans="10:10" ht="16" hidden="1" customHeight="1">
      <c r="J542" s="5" t="str">
        <f t="array" ref="J5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3" spans="10:10" ht="16" hidden="1" customHeight="1">
      <c r="J543" s="5" t="str">
        <f t="array" ref="J5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4" spans="10:10" ht="16" hidden="1" customHeight="1">
      <c r="J544" s="5" t="str">
        <f t="array" ref="J5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5" spans="10:10" ht="16" hidden="1" customHeight="1">
      <c r="J545" s="5" t="str">
        <f t="array" ref="J5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6" spans="10:10" ht="16" hidden="1" customHeight="1">
      <c r="J546" s="5" t="str">
        <f t="array" ref="J5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7" spans="10:10" ht="16" hidden="1" customHeight="1">
      <c r="J547" s="5" t="str">
        <f t="array" ref="J5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8" spans="10:10" ht="16" hidden="1" customHeight="1">
      <c r="J548" s="5" t="str">
        <f t="array" ref="J5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9" spans="10:10" ht="16" hidden="1" customHeight="1">
      <c r="J549" s="5" t="str">
        <f t="array" ref="J5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0" spans="10:10" ht="16" hidden="1" customHeight="1">
      <c r="J550" s="5" t="str">
        <f t="array" ref="J5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1" spans="10:10" ht="16" hidden="1" customHeight="1">
      <c r="J551" s="5" t="str">
        <f t="array" ref="J5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2" spans="10:10" ht="16" hidden="1" customHeight="1">
      <c r="J552" s="5" t="str">
        <f t="array" ref="J5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3" spans="10:10" ht="16" hidden="1" customHeight="1">
      <c r="J553" s="5" t="str">
        <f t="array" ref="J5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4" spans="10:10" ht="16" hidden="1" customHeight="1">
      <c r="J554" s="5" t="str">
        <f t="array" ref="J5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5" spans="10:10" ht="16" hidden="1" customHeight="1">
      <c r="J555" s="5" t="str">
        <f t="array" ref="J5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6" spans="10:10" ht="16" hidden="1" customHeight="1">
      <c r="J556" s="5" t="str">
        <f t="array" ref="J5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7" spans="10:10" ht="16" hidden="1" customHeight="1">
      <c r="J557" s="5" t="str">
        <f t="array" ref="J5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8" spans="10:10" ht="16" hidden="1" customHeight="1">
      <c r="J558" s="5" t="str">
        <f t="array" ref="J5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9" spans="10:10" ht="16" hidden="1" customHeight="1">
      <c r="J559" s="5" t="str">
        <f t="array" ref="J5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0" spans="10:10" ht="16" hidden="1" customHeight="1">
      <c r="J560" s="5" t="str">
        <f t="array" ref="J5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1" spans="10:10" ht="16" hidden="1" customHeight="1">
      <c r="J561" s="5" t="str">
        <f t="array" ref="J5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2" spans="10:10" ht="16" hidden="1" customHeight="1">
      <c r="J562" s="5" t="str">
        <f t="array" ref="J5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3" spans="10:10" ht="16" hidden="1" customHeight="1">
      <c r="J563" s="5" t="str">
        <f t="array" ref="J5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4" spans="10:10" ht="16" hidden="1" customHeight="1">
      <c r="J564" s="5" t="str">
        <f t="array" ref="J5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5" spans="10:10" ht="16" hidden="1" customHeight="1">
      <c r="J565" s="5" t="str">
        <f t="array" ref="J5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6" spans="10:10" ht="16" hidden="1" customHeight="1">
      <c r="J566" s="5" t="str">
        <f t="array" ref="J5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7" spans="10:10" ht="16" hidden="1" customHeight="1">
      <c r="J567" s="5" t="str">
        <f t="array" ref="J5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8" spans="10:10" ht="16" hidden="1" customHeight="1">
      <c r="J568" s="5" t="str">
        <f t="array" ref="J5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9" spans="10:10" ht="16" hidden="1" customHeight="1">
      <c r="J569" s="5" t="str">
        <f t="array" ref="J5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0" spans="10:10" ht="16" hidden="1" customHeight="1">
      <c r="J570" s="5" t="str">
        <f t="array" ref="J5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1" spans="10:10" ht="16" hidden="1" customHeight="1">
      <c r="J571" s="5" t="str">
        <f t="array" ref="J5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2" spans="10:10" ht="16" hidden="1" customHeight="1">
      <c r="J572" s="5" t="str">
        <f t="array" ref="J5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3" spans="10:10" ht="16" hidden="1" customHeight="1">
      <c r="J573" s="5" t="str">
        <f t="array" ref="J5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4" spans="10:10" ht="16" hidden="1" customHeight="1">
      <c r="J574" s="5" t="str">
        <f t="array" ref="J5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5" spans="10:10" ht="16" hidden="1" customHeight="1">
      <c r="J575" s="5" t="str">
        <f t="array" ref="J5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6" spans="10:10" ht="16" hidden="1" customHeight="1">
      <c r="J576" s="5" t="str">
        <f t="array" ref="J5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7" spans="10:10" ht="16" hidden="1" customHeight="1">
      <c r="J577" s="5" t="str">
        <f t="array" ref="J5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8" spans="10:10" ht="16" hidden="1" customHeight="1">
      <c r="J578" s="5" t="str">
        <f t="array" ref="J5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9" spans="10:10" ht="16" hidden="1" customHeight="1">
      <c r="J579" s="5" t="str">
        <f t="array" ref="J5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0" spans="10:10" ht="16" hidden="1" customHeight="1">
      <c r="J580" s="5" t="str">
        <f t="array" ref="J5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1" spans="10:10" ht="16" hidden="1" customHeight="1">
      <c r="J581" s="5" t="str">
        <f t="array" ref="J5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2" spans="10:10" ht="16" hidden="1" customHeight="1">
      <c r="J582" s="5" t="str">
        <f t="array" ref="J5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3" spans="10:10" ht="16" hidden="1" customHeight="1">
      <c r="J583" s="5" t="str">
        <f t="array" ref="J5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4" spans="10:10" ht="16" hidden="1" customHeight="1">
      <c r="J584" s="5" t="str">
        <f t="array" ref="J5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5" spans="10:10" ht="16" hidden="1" customHeight="1">
      <c r="J585" s="5" t="str">
        <f t="array" ref="J5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6" spans="10:10" ht="16" hidden="1" customHeight="1">
      <c r="J586" s="5" t="str">
        <f t="array" ref="J5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7" spans="10:10" ht="16" hidden="1" customHeight="1">
      <c r="J587" s="5" t="str">
        <f t="array" ref="J5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8" spans="10:10" ht="16" hidden="1" customHeight="1">
      <c r="J588" s="5" t="str">
        <f t="array" ref="J5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9" spans="10:10" ht="16" hidden="1" customHeight="1">
      <c r="J589" s="5" t="str">
        <f t="array" ref="J5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0" spans="10:10" ht="16" hidden="1" customHeight="1">
      <c r="J590" s="5" t="str">
        <f t="array" ref="J5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1" spans="10:10" ht="16" hidden="1" customHeight="1">
      <c r="J591" s="5" t="str">
        <f t="array" ref="J5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2" spans="10:10" ht="16" hidden="1" customHeight="1">
      <c r="J592" s="5" t="str">
        <f t="array" ref="J5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3" spans="10:10" ht="16" hidden="1" customHeight="1">
      <c r="J593" s="5" t="str">
        <f t="array" ref="J5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4" spans="10:10" ht="16" hidden="1" customHeight="1">
      <c r="J594" s="5" t="str">
        <f t="array" ref="J5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5" spans="10:10" ht="16" hidden="1" customHeight="1">
      <c r="J595" s="5" t="str">
        <f t="array" ref="J5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6" spans="10:10" ht="16" hidden="1" customHeight="1">
      <c r="J596" s="5" t="str">
        <f t="array" ref="J5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7" spans="10:10" ht="16" hidden="1" customHeight="1">
      <c r="J597" s="5" t="str">
        <f t="array" ref="J5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8" spans="10:10" ht="16" hidden="1" customHeight="1">
      <c r="J598" s="5" t="str">
        <f t="array" ref="J5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9" spans="10:10" ht="16" hidden="1" customHeight="1">
      <c r="J599" s="5" t="str">
        <f t="array" ref="J5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0" spans="10:10" ht="16" hidden="1" customHeight="1">
      <c r="J600" s="5" t="str">
        <f t="array" ref="J6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1" spans="10:10" ht="16" hidden="1" customHeight="1">
      <c r="J601" s="5" t="str">
        <f t="array" ref="J6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2" spans="10:10" ht="16" hidden="1" customHeight="1">
      <c r="J602" s="5" t="str">
        <f t="array" ref="J6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3" spans="10:10" ht="16" hidden="1" customHeight="1">
      <c r="J603" s="5" t="str">
        <f t="array" ref="J6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4" spans="10:10" ht="16" hidden="1" customHeight="1">
      <c r="J604" s="5" t="str">
        <f t="array" ref="J6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5" spans="10:10" ht="16" hidden="1" customHeight="1">
      <c r="J605" s="5" t="str">
        <f t="array" ref="J6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6" spans="10:10" ht="16" hidden="1" customHeight="1">
      <c r="J606" s="5" t="str">
        <f t="array" ref="J6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7" spans="10:10" ht="16" hidden="1" customHeight="1">
      <c r="J607" s="5" t="str">
        <f t="array" ref="J6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8" spans="10:10" ht="16" hidden="1" customHeight="1">
      <c r="J608" s="5" t="str">
        <f t="array" ref="J6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9" spans="10:10" ht="16" hidden="1" customHeight="1">
      <c r="J609" s="5" t="str">
        <f t="array" ref="J6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0" spans="10:10" ht="16" hidden="1" customHeight="1">
      <c r="J610" s="5" t="str">
        <f t="array" ref="J6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1" spans="10:10" ht="16" hidden="1" customHeight="1">
      <c r="J611" s="5" t="str">
        <f t="array" ref="J6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2" spans="10:10" ht="16" hidden="1" customHeight="1">
      <c r="J612" s="5" t="str">
        <f t="array" ref="J6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3" spans="10:10" ht="16" hidden="1" customHeight="1">
      <c r="J613" s="5" t="str">
        <f t="array" ref="J6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4" spans="10:10" ht="16" hidden="1" customHeight="1">
      <c r="J614" s="5" t="str">
        <f t="array" ref="J6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5" spans="10:10" ht="16" hidden="1" customHeight="1">
      <c r="J615" s="5" t="str">
        <f t="array" ref="J6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6" spans="10:10" ht="16" hidden="1" customHeight="1">
      <c r="J616" s="5" t="str">
        <f t="array" ref="J6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7" spans="10:10" ht="16" hidden="1" customHeight="1">
      <c r="J617" s="5" t="str">
        <f t="array" ref="J6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8" spans="10:10" ht="16" hidden="1" customHeight="1">
      <c r="J618" s="5" t="str">
        <f t="array" ref="J6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9" spans="10:10" ht="16" hidden="1" customHeight="1">
      <c r="J619" s="5" t="str">
        <f t="array" ref="J6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0" spans="10:10" ht="16" hidden="1" customHeight="1">
      <c r="J620" s="5" t="str">
        <f t="array" ref="J6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1" spans="10:10" ht="16" hidden="1" customHeight="1">
      <c r="J621" s="5" t="str">
        <f t="array" ref="J6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2" spans="10:10" ht="16" hidden="1" customHeight="1">
      <c r="J622" s="5" t="str">
        <f t="array" ref="J6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3" spans="10:10" ht="16" hidden="1" customHeight="1">
      <c r="J623" s="5" t="str">
        <f t="array" ref="J6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4" spans="10:10" ht="16" hidden="1" customHeight="1">
      <c r="J624" s="5" t="str">
        <f t="array" ref="J6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5" spans="10:10" ht="16" hidden="1" customHeight="1">
      <c r="J625" s="5" t="str">
        <f t="array" ref="J6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6" spans="10:10" ht="16" hidden="1" customHeight="1">
      <c r="J626" s="5" t="str">
        <f t="array" ref="J6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7" spans="10:10" ht="16" hidden="1" customHeight="1">
      <c r="J627" s="5" t="str">
        <f t="array" ref="J6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8" spans="10:10" ht="16" hidden="1" customHeight="1">
      <c r="J628" s="5" t="str">
        <f t="array" ref="J6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9" spans="10:10" ht="16" hidden="1" customHeight="1">
      <c r="J629" s="5" t="str">
        <f t="array" ref="J6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0" spans="10:10" ht="16" hidden="1" customHeight="1">
      <c r="J630" s="5" t="str">
        <f t="array" ref="J6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1" spans="10:10" ht="16" hidden="1" customHeight="1">
      <c r="J631" s="5" t="str">
        <f t="array" ref="J6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2" spans="10:10" ht="16" hidden="1" customHeight="1">
      <c r="J632" s="5" t="str">
        <f t="array" ref="J6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3" spans="10:10" ht="16" hidden="1" customHeight="1">
      <c r="J633" s="5" t="str">
        <f t="array" ref="J6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4" spans="10:10" ht="16" hidden="1" customHeight="1">
      <c r="J634" s="5" t="str">
        <f t="array" ref="J6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5" spans="10:10" ht="16" hidden="1" customHeight="1">
      <c r="J635" s="5" t="str">
        <f t="array" ref="J6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6" spans="10:10" ht="16" hidden="1" customHeight="1">
      <c r="J636" s="5" t="str">
        <f t="array" ref="J6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7" spans="10:10" ht="16" hidden="1" customHeight="1">
      <c r="J637" s="5" t="str">
        <f t="array" ref="J6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8" spans="10:10" ht="16" hidden="1" customHeight="1">
      <c r="J638" s="5" t="str">
        <f t="array" ref="J6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9" spans="10:10" ht="16" hidden="1" customHeight="1">
      <c r="J639" s="5" t="str">
        <f t="array" ref="J6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0" spans="10:10" ht="16" hidden="1" customHeight="1">
      <c r="J640" s="5" t="str">
        <f t="array" ref="J6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1" spans="10:10" ht="16" hidden="1" customHeight="1">
      <c r="J641" s="5" t="str">
        <f t="array" ref="J6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2" spans="10:10" ht="16" hidden="1" customHeight="1">
      <c r="J642" s="5" t="str">
        <f t="array" ref="J6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3" spans="10:10" ht="16" hidden="1" customHeight="1">
      <c r="J643" s="5" t="str">
        <f t="array" ref="J6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4" spans="10:10" ht="16" hidden="1" customHeight="1">
      <c r="J644" s="5" t="str">
        <f t="array" ref="J6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5" spans="10:10" ht="16" hidden="1" customHeight="1">
      <c r="J645" s="5" t="str">
        <f t="array" ref="J6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6" spans="10:10" ht="16" hidden="1" customHeight="1">
      <c r="J646" s="5" t="str">
        <f t="array" ref="J6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7" spans="10:10" ht="16" hidden="1" customHeight="1">
      <c r="J647" s="5" t="str">
        <f t="array" ref="J6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8" spans="10:10" ht="16" hidden="1" customHeight="1">
      <c r="J648" s="5" t="str">
        <f t="array" ref="J6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9" spans="10:10" ht="16" hidden="1" customHeight="1">
      <c r="J649" s="5" t="str">
        <f t="array" ref="J6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0" spans="10:10" ht="16" hidden="1" customHeight="1">
      <c r="J650" s="5" t="str">
        <f t="array" ref="J6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1" spans="10:10" ht="16" hidden="1" customHeight="1">
      <c r="J651" s="5" t="str">
        <f t="array" ref="J6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2" spans="10:10" ht="16" hidden="1" customHeight="1">
      <c r="J652" s="5" t="str">
        <f t="array" ref="J6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3" spans="10:10" ht="16" hidden="1" customHeight="1">
      <c r="J653" s="5" t="str">
        <f t="array" ref="J6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4" spans="10:10" ht="16" hidden="1" customHeight="1">
      <c r="J654" s="5" t="str">
        <f t="array" ref="J6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5" spans="10:10" ht="16" hidden="1" customHeight="1">
      <c r="J655" s="5" t="str">
        <f t="array" ref="J6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6" spans="10:10" ht="16" hidden="1" customHeight="1">
      <c r="J656" s="5" t="str">
        <f t="array" ref="J6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7" spans="10:10" ht="16" hidden="1" customHeight="1">
      <c r="J657" s="5" t="str">
        <f t="array" ref="J6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8" spans="10:10" ht="16" hidden="1" customHeight="1">
      <c r="J658" s="5" t="str">
        <f t="array" ref="J6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9" spans="10:10" ht="16" hidden="1" customHeight="1">
      <c r="J659" s="5" t="str">
        <f t="array" ref="J6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0" spans="10:10" ht="16" hidden="1" customHeight="1">
      <c r="J660" s="5" t="str">
        <f t="array" ref="J6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1" spans="10:10" ht="16" hidden="1" customHeight="1">
      <c r="J661" s="5" t="str">
        <f t="array" ref="J6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2" spans="10:10" ht="16" hidden="1" customHeight="1">
      <c r="J662" s="5" t="str">
        <f t="array" ref="J6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3" spans="10:10" ht="16" hidden="1" customHeight="1">
      <c r="J663" s="5" t="str">
        <f t="array" ref="J6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4" spans="10:10" ht="16" hidden="1" customHeight="1">
      <c r="J664" s="5" t="str">
        <f t="array" ref="J6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5" spans="10:10" ht="16" hidden="1" customHeight="1">
      <c r="J665" s="5" t="str">
        <f t="array" ref="J6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6" spans="10:10" ht="16" hidden="1" customHeight="1">
      <c r="J666" s="5" t="str">
        <f t="array" ref="J6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7" spans="10:10" ht="16" hidden="1" customHeight="1">
      <c r="J667" s="5" t="str">
        <f t="array" ref="J6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8" spans="10:10" ht="16" hidden="1" customHeight="1">
      <c r="J668" s="5" t="str">
        <f t="array" ref="J6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9" spans="10:10" ht="16" hidden="1" customHeight="1">
      <c r="J669" s="5" t="str">
        <f t="array" ref="J6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0" spans="10:10" ht="16" hidden="1" customHeight="1">
      <c r="J670" s="5" t="str">
        <f t="array" ref="J6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1" spans="10:10" ht="16" hidden="1" customHeight="1">
      <c r="J671" s="5" t="str">
        <f t="array" ref="J6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2" spans="10:10" ht="16" hidden="1" customHeight="1">
      <c r="J672" s="5" t="str">
        <f t="array" ref="J6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3" spans="10:10" ht="16" hidden="1" customHeight="1">
      <c r="J673" s="5" t="str">
        <f t="array" ref="J6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4" spans="10:10" ht="16" hidden="1" customHeight="1">
      <c r="J674" s="5" t="str">
        <f t="array" ref="J6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5" spans="10:10" ht="16" hidden="1" customHeight="1">
      <c r="J675" s="5" t="str">
        <f t="array" ref="J6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6" spans="10:10" ht="16" hidden="1" customHeight="1">
      <c r="J676" s="5" t="str">
        <f t="array" ref="J6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7" spans="10:10" ht="16" hidden="1" customHeight="1">
      <c r="J677" s="5" t="str">
        <f t="array" ref="J6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8" spans="10:10" ht="16" hidden="1" customHeight="1">
      <c r="J678" s="5" t="str">
        <f t="array" ref="J6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9" spans="10:10" ht="16" hidden="1" customHeight="1">
      <c r="J679" s="5" t="str">
        <f t="array" ref="J6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0" spans="10:10" ht="16" hidden="1" customHeight="1">
      <c r="J680" s="5" t="str">
        <f t="array" ref="J6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1" spans="10:10" ht="16" hidden="1" customHeight="1">
      <c r="J681" s="5" t="str">
        <f t="array" ref="J6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2" spans="10:10" ht="16" hidden="1" customHeight="1">
      <c r="J682" s="5" t="str">
        <f t="array" ref="J6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3" spans="10:10" ht="16" hidden="1" customHeight="1">
      <c r="J683" s="5" t="str">
        <f t="array" ref="J6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4" spans="10:10" ht="16" hidden="1" customHeight="1">
      <c r="J684" s="5" t="str">
        <f t="array" ref="J6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5" spans="10:10" ht="16" hidden="1" customHeight="1">
      <c r="J685" s="5" t="str">
        <f t="array" ref="J6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6" spans="10:10" ht="16" hidden="1" customHeight="1">
      <c r="J686" s="5" t="str">
        <f t="array" ref="J6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7" spans="10:10" ht="16" hidden="1" customHeight="1">
      <c r="J687" s="5" t="str">
        <f t="array" ref="J6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8" spans="10:10" ht="16" hidden="1" customHeight="1">
      <c r="J688" s="5" t="str">
        <f t="array" ref="J6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9" spans="10:10" ht="16" hidden="1" customHeight="1">
      <c r="J689" s="5" t="str">
        <f t="array" ref="J6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0" spans="10:10" ht="16" hidden="1" customHeight="1">
      <c r="J690" s="5" t="str">
        <f t="array" ref="J6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1" spans="10:10" ht="16" hidden="1" customHeight="1">
      <c r="J691" s="5" t="str">
        <f t="array" ref="J6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2" spans="10:10" ht="16" hidden="1" customHeight="1">
      <c r="J692" s="5" t="str">
        <f t="array" ref="J6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3" spans="10:10" ht="16" hidden="1" customHeight="1">
      <c r="J693" s="5" t="str">
        <f t="array" ref="J6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4" spans="10:10" ht="16" hidden="1" customHeight="1">
      <c r="J694" s="5" t="str">
        <f t="array" ref="J6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5" spans="10:10" ht="16" hidden="1" customHeight="1">
      <c r="J695" s="5" t="str">
        <f t="array" ref="J6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6" spans="10:10" ht="16" hidden="1" customHeight="1">
      <c r="J696" s="5" t="str">
        <f t="array" ref="J6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7" spans="10:10" ht="16" hidden="1" customHeight="1">
      <c r="J697" s="5" t="str">
        <f t="array" ref="J6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8" spans="10:10" ht="16" hidden="1" customHeight="1">
      <c r="J698" s="5" t="str">
        <f t="array" ref="J6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9" spans="10:10" ht="16" hidden="1" customHeight="1">
      <c r="J699" s="5" t="str">
        <f t="array" ref="J6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0" spans="10:10" ht="16" hidden="1" customHeight="1">
      <c r="J700" s="5" t="str">
        <f t="array" ref="J7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1" spans="10:10" ht="16" hidden="1" customHeight="1">
      <c r="J701" s="5" t="str">
        <f t="array" ref="J7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2" spans="10:10" ht="16" hidden="1" customHeight="1">
      <c r="J702" s="5" t="str">
        <f t="array" ref="J7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3" spans="10:10" ht="16" hidden="1" customHeight="1">
      <c r="J703" s="5" t="str">
        <f t="array" ref="J7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4" spans="10:10" ht="16" hidden="1" customHeight="1">
      <c r="J704" s="5" t="str">
        <f t="array" ref="J7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5" spans="10:10" ht="16" hidden="1" customHeight="1">
      <c r="J705" s="5" t="str">
        <f t="array" ref="J7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6" spans="10:10" ht="16" hidden="1" customHeight="1">
      <c r="J706" s="5" t="str">
        <f t="array" ref="J7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7" spans="10:10" ht="16" hidden="1" customHeight="1">
      <c r="J707" s="5" t="str">
        <f t="array" ref="J7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8" spans="10:10" ht="16" hidden="1" customHeight="1">
      <c r="J708" s="5" t="str">
        <f t="array" ref="J7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9" spans="10:10" ht="16" hidden="1" customHeight="1">
      <c r="J709" s="5" t="str">
        <f t="array" ref="J7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0" spans="10:10" ht="16" hidden="1" customHeight="1">
      <c r="J710" s="5" t="str">
        <f t="array" ref="J7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1" spans="10:10" ht="16" hidden="1" customHeight="1">
      <c r="J711" s="5" t="str">
        <f t="array" ref="J7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2" spans="10:10" ht="16" hidden="1" customHeight="1">
      <c r="J712" s="5" t="str">
        <f t="array" ref="J7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3" spans="10:10" ht="16" hidden="1" customHeight="1">
      <c r="J713" s="5" t="str">
        <f t="array" ref="J7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4" spans="10:10" ht="16" hidden="1" customHeight="1">
      <c r="J714" s="5" t="str">
        <f t="array" ref="J7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5" spans="10:10" ht="16" hidden="1" customHeight="1">
      <c r="J715" s="5" t="str">
        <f t="array" ref="J7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6" spans="10:10" ht="16" hidden="1" customHeight="1">
      <c r="J716" s="5" t="str">
        <f t="array" ref="J7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7" spans="10:10" ht="16" hidden="1" customHeight="1">
      <c r="J717" s="5" t="str">
        <f t="array" ref="J7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8" spans="10:10" ht="16" hidden="1" customHeight="1">
      <c r="J718" s="5" t="str">
        <f t="array" ref="J7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9" spans="10:10" ht="16" hidden="1" customHeight="1">
      <c r="J719" s="5" t="str">
        <f t="array" ref="J7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0" spans="10:10" ht="16" hidden="1" customHeight="1">
      <c r="J720" s="5" t="str">
        <f t="array" ref="J7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1" spans="10:10" ht="16" hidden="1" customHeight="1">
      <c r="J721" s="5" t="str">
        <f t="array" ref="J7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2" spans="10:10" ht="16" hidden="1" customHeight="1">
      <c r="J722" s="5" t="str">
        <f t="array" ref="J7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3" spans="10:10" ht="16" hidden="1" customHeight="1">
      <c r="J723" s="5" t="str">
        <f t="array" ref="J7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4" spans="10:10" ht="16" hidden="1" customHeight="1">
      <c r="J724" s="5" t="str">
        <f t="array" ref="J7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5" spans="10:10" ht="16" hidden="1" customHeight="1">
      <c r="J725" s="5" t="str">
        <f t="array" ref="J7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6" spans="10:10" ht="16" hidden="1" customHeight="1">
      <c r="J726" s="5" t="str">
        <f t="array" ref="J7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7" spans="10:10" ht="16" hidden="1" customHeight="1">
      <c r="J727" s="5" t="str">
        <f t="array" ref="J7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8" spans="10:10" ht="16" hidden="1" customHeight="1">
      <c r="J728" s="5" t="str">
        <f t="array" ref="J7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9" spans="10:10" ht="16" hidden="1" customHeight="1">
      <c r="J729" s="5" t="str">
        <f t="array" ref="J7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0" spans="10:10" ht="16" hidden="1" customHeight="1">
      <c r="J730" s="5" t="str">
        <f t="array" ref="J7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1" spans="10:10" ht="16" hidden="1" customHeight="1">
      <c r="J731" s="5" t="str">
        <f t="array" ref="J7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2" spans="10:10" ht="16" hidden="1" customHeight="1">
      <c r="J732" s="5" t="str">
        <f t="array" ref="J7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3" spans="10:10" ht="16" hidden="1" customHeight="1">
      <c r="J733" s="5" t="str">
        <f t="array" ref="J7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4" spans="10:10" ht="16" hidden="1" customHeight="1">
      <c r="J734" s="5" t="str">
        <f t="array" ref="J7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5" spans="10:10" ht="16" hidden="1" customHeight="1">
      <c r="J735" s="5" t="str">
        <f t="array" ref="J7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6" spans="10:10" ht="16" hidden="1" customHeight="1">
      <c r="J736" s="5" t="str">
        <f t="array" ref="J7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7" spans="10:10" ht="16" hidden="1" customHeight="1">
      <c r="J737" s="5" t="str">
        <f t="array" ref="J7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8" spans="10:10" ht="16" hidden="1" customHeight="1">
      <c r="J738" s="5" t="str">
        <f t="array" ref="J7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9" spans="10:10" ht="16" hidden="1" customHeight="1">
      <c r="J739" s="5" t="str">
        <f t="array" ref="J7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0" spans="10:10" ht="16" hidden="1" customHeight="1">
      <c r="J740" s="5" t="str">
        <f t="array" ref="J7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1" spans="10:10" ht="16" hidden="1" customHeight="1">
      <c r="J741" s="5" t="str">
        <f t="array" ref="J7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2" spans="10:10" ht="16" hidden="1" customHeight="1">
      <c r="J742" s="5" t="str">
        <f t="array" ref="J7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3" spans="10:10" ht="16" hidden="1" customHeight="1">
      <c r="J743" s="5" t="str">
        <f t="array" ref="J7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4" spans="10:10" ht="16" hidden="1" customHeight="1">
      <c r="J744" s="5" t="str">
        <f t="array" ref="J7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5" spans="10:10" ht="16" hidden="1" customHeight="1">
      <c r="J745" s="5" t="str">
        <f t="array" ref="J7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6" spans="10:10" ht="16" hidden="1" customHeight="1">
      <c r="J746" s="5" t="str">
        <f t="array" ref="J7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7" spans="10:10" ht="16" hidden="1" customHeight="1">
      <c r="J747" s="5" t="str">
        <f t="array" ref="J7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8" spans="10:10" ht="16" hidden="1" customHeight="1">
      <c r="J748" s="5" t="str">
        <f t="array" ref="J7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9" spans="10:10" ht="16" hidden="1" customHeight="1">
      <c r="J749" s="5" t="str">
        <f t="array" ref="J7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0" spans="10:10" ht="16" hidden="1" customHeight="1">
      <c r="J750" s="5" t="str">
        <f t="array" ref="J7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1" spans="10:10" ht="16" hidden="1" customHeight="1">
      <c r="J751" s="5" t="str">
        <f t="array" ref="J7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2" spans="10:10" ht="16" hidden="1" customHeight="1">
      <c r="J752" s="5" t="str">
        <f t="array" ref="J7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3" spans="10:10" ht="16" hidden="1" customHeight="1">
      <c r="J753" s="5" t="str">
        <f t="array" ref="J7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4" spans="10:10" ht="16" hidden="1" customHeight="1">
      <c r="J754" s="5" t="str">
        <f t="array" ref="J7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5" spans="10:10" ht="16" hidden="1" customHeight="1">
      <c r="J755" s="5" t="str">
        <f t="array" ref="J7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6" spans="10:10" ht="16" hidden="1" customHeight="1">
      <c r="J756" s="5" t="str">
        <f t="array" ref="J7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7" spans="10:10" ht="16" hidden="1" customHeight="1">
      <c r="J757" s="5" t="str">
        <f t="array" ref="J7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8" spans="10:10" ht="16" hidden="1" customHeight="1">
      <c r="J758" s="5" t="str">
        <f t="array" ref="J7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9" spans="10:10" ht="16" hidden="1" customHeight="1">
      <c r="J759" s="5" t="str">
        <f t="array" ref="J7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0" spans="10:10" ht="16" hidden="1" customHeight="1">
      <c r="J760" s="5" t="str">
        <f t="array" ref="J7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1" spans="10:10" ht="16" hidden="1" customHeight="1">
      <c r="J761" s="5" t="str">
        <f t="array" ref="J7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2" spans="10:10" ht="16" hidden="1" customHeight="1">
      <c r="J762" s="5" t="str">
        <f t="array" ref="J7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3" spans="10:10" ht="16" hidden="1" customHeight="1">
      <c r="J763" s="5" t="str">
        <f t="array" ref="J7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4" spans="10:10" ht="16" hidden="1" customHeight="1">
      <c r="J764" s="5" t="str">
        <f t="array" ref="J7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5" spans="10:10" ht="16" hidden="1" customHeight="1">
      <c r="J765" s="5" t="str">
        <f t="array" ref="J7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6" spans="10:10" ht="16" hidden="1" customHeight="1">
      <c r="J766" s="5" t="str">
        <f t="array" ref="J7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7" spans="10:10" ht="16" hidden="1" customHeight="1">
      <c r="J767" s="5" t="str">
        <f t="array" ref="J7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8" spans="10:10" ht="16" hidden="1" customHeight="1">
      <c r="J768" s="5" t="str">
        <f t="array" ref="J7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9" spans="10:10" ht="16" hidden="1" customHeight="1">
      <c r="J769" s="5" t="str">
        <f t="array" ref="J7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0" spans="10:10" ht="16" hidden="1" customHeight="1">
      <c r="J770" s="5" t="str">
        <f t="array" ref="J7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1" spans="10:10" ht="16" hidden="1" customHeight="1">
      <c r="J771" s="5" t="str">
        <f t="array" ref="J7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2" spans="10:10" ht="16" hidden="1" customHeight="1">
      <c r="J772" s="5" t="str">
        <f t="array" ref="J7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3" spans="10:10" ht="16" hidden="1" customHeight="1">
      <c r="J773" s="5" t="str">
        <f t="array" ref="J7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4" spans="10:10" ht="16" hidden="1" customHeight="1">
      <c r="J774" s="5" t="str">
        <f t="array" ref="J7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5" spans="10:10" ht="16" hidden="1" customHeight="1">
      <c r="J775" s="5" t="str">
        <f t="array" ref="J7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6" spans="10:10" ht="16" hidden="1" customHeight="1">
      <c r="J776" s="5" t="str">
        <f t="array" ref="J7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7" spans="10:10" ht="16" hidden="1" customHeight="1">
      <c r="J777" s="5" t="str">
        <f t="array" ref="J7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8" spans="10:10" ht="16" hidden="1" customHeight="1">
      <c r="J778" s="5" t="str">
        <f t="array" ref="J7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9" spans="10:10" ht="16" hidden="1" customHeight="1">
      <c r="J779" s="5" t="str">
        <f t="array" ref="J7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0" spans="10:10" ht="16" hidden="1" customHeight="1">
      <c r="J780" s="5" t="str">
        <f t="array" ref="J7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1" spans="10:10" ht="16" hidden="1" customHeight="1">
      <c r="J781" s="5" t="str">
        <f t="array" ref="J7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2" spans="10:10" ht="16" hidden="1" customHeight="1">
      <c r="J782" s="5" t="str">
        <f t="array" ref="J7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3" spans="10:10" ht="16" hidden="1" customHeight="1">
      <c r="J783" s="5" t="str">
        <f t="array" ref="J7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4" spans="10:10" ht="16" hidden="1" customHeight="1">
      <c r="J784" s="5" t="str">
        <f t="array" ref="J7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5" spans="10:10" ht="16" hidden="1" customHeight="1">
      <c r="J785" s="5" t="str">
        <f t="array" ref="J7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6" spans="10:10" ht="16" hidden="1" customHeight="1">
      <c r="J786" s="5" t="str">
        <f t="array" ref="J7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7" spans="10:10" ht="16" hidden="1" customHeight="1">
      <c r="J787" s="5" t="str">
        <f t="array" ref="J7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8" spans="10:10" ht="16" hidden="1" customHeight="1">
      <c r="J788" s="5" t="str">
        <f t="array" ref="J7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9" spans="10:10" ht="16" hidden="1" customHeight="1">
      <c r="J789" s="5" t="str">
        <f t="array" ref="J7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0" spans="10:10" ht="16" hidden="1" customHeight="1">
      <c r="J790" s="5" t="str">
        <f t="array" ref="J7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1" spans="10:10" ht="16" hidden="1" customHeight="1">
      <c r="J791" s="5" t="str">
        <f t="array" ref="J7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2" spans="10:10" ht="16" hidden="1" customHeight="1">
      <c r="J792" s="5" t="str">
        <f t="array" ref="J7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3" spans="10:10" ht="16" hidden="1" customHeight="1">
      <c r="J793" s="5" t="str">
        <f t="array" ref="J7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4" spans="10:10" ht="16" hidden="1" customHeight="1">
      <c r="J794" s="5" t="str">
        <f t="array" ref="J7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5" spans="10:10" ht="16" hidden="1" customHeight="1">
      <c r="J795" s="5" t="str">
        <f t="array" ref="J7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6" spans="10:10" ht="16" hidden="1" customHeight="1">
      <c r="J796" s="5" t="str">
        <f t="array" ref="J7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7" spans="10:10" ht="16" hidden="1" customHeight="1">
      <c r="J797" s="5" t="str">
        <f t="array" ref="J7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8" spans="10:10" ht="16" hidden="1" customHeight="1">
      <c r="J798" s="5" t="str">
        <f t="array" ref="J7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9" spans="10:10" ht="16" hidden="1" customHeight="1">
      <c r="J799" s="5" t="str">
        <f t="array" ref="J7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0" spans="10:10" ht="16" hidden="1" customHeight="1">
      <c r="J800" s="5" t="str">
        <f t="array" ref="J8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1" spans="10:10" ht="16" hidden="1" customHeight="1">
      <c r="J801" s="5" t="str">
        <f t="array" ref="J8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2" spans="10:10" ht="16" hidden="1" customHeight="1">
      <c r="J802" s="5" t="str">
        <f t="array" ref="J8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3" spans="10:10" ht="16" hidden="1" customHeight="1">
      <c r="J803" s="5" t="str">
        <f t="array" ref="J8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4" spans="10:10" ht="16" hidden="1" customHeight="1">
      <c r="J804" s="5" t="str">
        <f t="array" ref="J8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5" spans="10:10" ht="16" hidden="1" customHeight="1">
      <c r="J805" s="5" t="str">
        <f t="array" ref="J8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6" spans="10:10" ht="16" hidden="1" customHeight="1">
      <c r="J806" s="5" t="str">
        <f t="array" ref="J8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7" spans="10:10" ht="16" hidden="1" customHeight="1">
      <c r="J807" s="5" t="str">
        <f t="array" ref="J8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8" spans="10:10" ht="16" hidden="1" customHeight="1">
      <c r="J808" s="5" t="str">
        <f t="array" ref="J8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9" spans="10:10" ht="16" hidden="1" customHeight="1">
      <c r="J809" s="5" t="str">
        <f t="array" ref="J8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0" spans="10:10" ht="16" hidden="1" customHeight="1">
      <c r="J810" s="5" t="str">
        <f t="array" ref="J8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1" spans="10:10" ht="16" hidden="1" customHeight="1">
      <c r="J811" s="5" t="str">
        <f t="array" ref="J8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2" spans="10:10" ht="16" hidden="1" customHeight="1">
      <c r="J812" s="5" t="str">
        <f t="array" ref="J8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3" spans="10:10" ht="16" hidden="1" customHeight="1">
      <c r="J813" s="5" t="str">
        <f t="array" ref="J8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4" spans="10:10" ht="16" hidden="1" customHeight="1">
      <c r="J814" s="5" t="str">
        <f t="array" ref="J8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5" spans="10:10" ht="16" hidden="1" customHeight="1">
      <c r="J815" s="5" t="str">
        <f t="array" ref="J8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6" spans="10:10" ht="16" hidden="1" customHeight="1">
      <c r="J816" s="5" t="str">
        <f t="array" ref="J8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7" spans="10:10" ht="16" hidden="1" customHeight="1">
      <c r="J817" s="5" t="str">
        <f t="array" ref="J8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8" spans="10:10" ht="16" hidden="1" customHeight="1">
      <c r="J818" s="5" t="str">
        <f t="array" ref="J8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9" spans="10:10" ht="16" hidden="1" customHeight="1">
      <c r="J819" s="5" t="str">
        <f t="array" ref="J8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0" spans="10:10" ht="16" hidden="1" customHeight="1">
      <c r="J820" s="5" t="str">
        <f t="array" ref="J8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1" spans="10:10" ht="16" hidden="1" customHeight="1">
      <c r="J821" s="5" t="str">
        <f t="array" ref="J8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2" spans="10:10" ht="16" hidden="1" customHeight="1">
      <c r="J822" s="5" t="str">
        <f t="array" ref="J8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3" spans="10:10" ht="16" hidden="1" customHeight="1">
      <c r="J823" s="5" t="str">
        <f t="array" ref="J8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4" spans="10:10" ht="16" hidden="1" customHeight="1">
      <c r="J824" s="5" t="str">
        <f t="array" ref="J8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5" spans="10:10" ht="16" hidden="1" customHeight="1">
      <c r="J825" s="5" t="str">
        <f t="array" ref="J8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6" spans="10:10" ht="16" hidden="1" customHeight="1">
      <c r="J826" s="5" t="str">
        <f t="array" ref="J8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7" spans="10:10" ht="16" hidden="1" customHeight="1">
      <c r="J827" s="5" t="str">
        <f t="array" ref="J8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8" spans="10:10" ht="16" hidden="1" customHeight="1">
      <c r="J828" s="5" t="str">
        <f t="array" ref="J8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9" spans="10:10" ht="16" hidden="1" customHeight="1">
      <c r="J829" s="5" t="str">
        <f t="array" ref="J8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0" spans="10:10" ht="16" hidden="1" customHeight="1">
      <c r="J830" s="5" t="str">
        <f t="array" ref="J8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1" spans="10:10" ht="16" hidden="1" customHeight="1">
      <c r="J831" s="5" t="str">
        <f t="array" ref="J8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2" spans="10:10" ht="16" hidden="1" customHeight="1">
      <c r="J832" s="5" t="str">
        <f t="array" ref="J8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3" spans="10:10" ht="16" hidden="1" customHeight="1">
      <c r="J833" s="5" t="str">
        <f t="array" ref="J8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4" spans="10:10" ht="16" hidden="1" customHeight="1">
      <c r="J834" s="5" t="str">
        <f t="array" ref="J8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5" spans="10:10" ht="16" hidden="1" customHeight="1">
      <c r="J835" s="5" t="str">
        <f t="array" ref="J8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6" spans="10:10" ht="16" hidden="1" customHeight="1">
      <c r="J836" s="5" t="str">
        <f t="array" ref="J8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7" spans="10:10" ht="16" hidden="1" customHeight="1">
      <c r="J837" s="5" t="str">
        <f t="array" ref="J8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8" spans="10:10" ht="16" hidden="1" customHeight="1">
      <c r="J838" s="5" t="str">
        <f t="array" ref="J8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9" spans="10:10" ht="16" hidden="1" customHeight="1">
      <c r="J839" s="5" t="str">
        <f t="array" ref="J8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0" spans="10:10" ht="16" hidden="1" customHeight="1">
      <c r="J840" s="5" t="str">
        <f t="array" ref="J8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1" spans="10:10" ht="16" hidden="1" customHeight="1">
      <c r="J841" s="5" t="str">
        <f t="array" ref="J8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2" spans="10:10" ht="16" hidden="1" customHeight="1">
      <c r="J842" s="5" t="str">
        <f t="array" ref="J8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3" spans="10:10" ht="16" hidden="1" customHeight="1">
      <c r="J843" s="5" t="str">
        <f t="array" ref="J8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4" spans="10:10" ht="16" hidden="1" customHeight="1">
      <c r="J844" s="5" t="str">
        <f t="array" ref="J8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5" spans="10:10" ht="16" hidden="1" customHeight="1">
      <c r="J845" s="5" t="str">
        <f t="array" ref="J8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6" spans="10:10" ht="16" hidden="1" customHeight="1">
      <c r="J846" s="5" t="str">
        <f t="array" ref="J8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7" spans="10:10" ht="16" hidden="1" customHeight="1">
      <c r="J847" s="5" t="str">
        <f t="array" ref="J8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8" spans="10:10" ht="16" hidden="1" customHeight="1">
      <c r="J848" s="5" t="str">
        <f t="array" ref="J8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9" spans="10:10" ht="16" hidden="1" customHeight="1">
      <c r="J849" s="5" t="str">
        <f t="array" ref="J8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0" spans="10:10" ht="16" hidden="1" customHeight="1">
      <c r="J850" s="5" t="str">
        <f t="array" ref="J8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1" spans="10:10" ht="16" hidden="1" customHeight="1">
      <c r="J851" s="5" t="str">
        <f t="array" ref="J8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2" spans="10:10" ht="16" hidden="1" customHeight="1">
      <c r="J852" s="5" t="str">
        <f t="array" ref="J8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3" spans="10:10" ht="16" hidden="1" customHeight="1">
      <c r="J853" s="5" t="str">
        <f t="array" ref="J8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4" spans="10:10" ht="16" hidden="1" customHeight="1">
      <c r="J854" s="5" t="str">
        <f t="array" ref="J8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5" spans="10:10" ht="16" hidden="1" customHeight="1">
      <c r="J855" s="5" t="str">
        <f t="array" ref="J8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6" spans="10:10" ht="16" hidden="1" customHeight="1">
      <c r="J856" s="5" t="str">
        <f t="array" ref="J8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7" spans="10:10" ht="16" hidden="1" customHeight="1">
      <c r="J857" s="5" t="str">
        <f t="array" ref="J8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8" spans="10:10" ht="16" hidden="1" customHeight="1">
      <c r="J858" s="5" t="str">
        <f t="array" ref="J8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9" spans="10:10" ht="16" hidden="1" customHeight="1">
      <c r="J859" s="5" t="str">
        <f t="array" ref="J8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0" spans="10:10" ht="16" hidden="1" customHeight="1">
      <c r="J860" s="5" t="str">
        <f t="array" ref="J8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1" spans="10:10" ht="16" hidden="1" customHeight="1">
      <c r="J861" s="5" t="str">
        <f t="array" ref="J8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2" spans="10:10" ht="16" hidden="1" customHeight="1">
      <c r="J862" s="5" t="str">
        <f t="array" ref="J8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3" spans="10:10" ht="16" hidden="1" customHeight="1">
      <c r="J863" s="5" t="str">
        <f t="array" ref="J8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4" spans="10:10" ht="16" hidden="1" customHeight="1">
      <c r="J864" s="5" t="str">
        <f t="array" ref="J8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5" spans="10:10" ht="16" hidden="1" customHeight="1">
      <c r="J865" s="5" t="str">
        <f t="array" ref="J8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6" spans="10:10" ht="16" hidden="1" customHeight="1">
      <c r="J866" s="5" t="str">
        <f t="array" ref="J8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7" spans="10:10" ht="16" hidden="1" customHeight="1">
      <c r="J867" s="5" t="str">
        <f t="array" ref="J8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8" spans="10:10" ht="16" hidden="1" customHeight="1">
      <c r="J868" s="5" t="str">
        <f t="array" ref="J8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9" spans="10:10" ht="16" hidden="1" customHeight="1">
      <c r="J869" s="5" t="str">
        <f t="array" ref="J8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0" spans="10:10" ht="16" hidden="1" customHeight="1">
      <c r="J870" s="5" t="str">
        <f t="array" ref="J8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1" spans="10:10" ht="16" hidden="1" customHeight="1">
      <c r="J871" s="5" t="str">
        <f t="array" ref="J8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2" spans="10:10" ht="16" hidden="1" customHeight="1">
      <c r="J872" s="5" t="str">
        <f t="array" ref="J8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3" spans="10:10" ht="16" hidden="1" customHeight="1">
      <c r="J873" s="5" t="str">
        <f t="array" ref="J8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4" spans="10:10" ht="16" hidden="1" customHeight="1">
      <c r="J874" s="5" t="str">
        <f t="array" ref="J8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5" spans="10:10" ht="16" hidden="1" customHeight="1">
      <c r="J875" s="5" t="str">
        <f t="array" ref="J8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6" spans="10:10" ht="16" hidden="1" customHeight="1">
      <c r="J876" s="5" t="str">
        <f t="array" ref="J8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7" spans="10:10" ht="16" hidden="1" customHeight="1">
      <c r="J877" s="5" t="str">
        <f t="array" ref="J8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8" spans="10:10" ht="16" hidden="1" customHeight="1">
      <c r="J878" s="5" t="str">
        <f t="array" ref="J8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9" spans="10:10" ht="16" hidden="1" customHeight="1">
      <c r="J879" s="5" t="str">
        <f t="array" ref="J8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0" spans="10:10" ht="16" hidden="1" customHeight="1">
      <c r="J880" s="5" t="str">
        <f t="array" ref="J8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1" spans="10:10" ht="16" hidden="1" customHeight="1">
      <c r="J881" s="5" t="str">
        <f t="array" ref="J8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2" spans="10:10" ht="16" hidden="1" customHeight="1">
      <c r="J882" s="5" t="str">
        <f t="array" ref="J8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3" spans="10:10" ht="16" hidden="1" customHeight="1">
      <c r="J883" s="5" t="str">
        <f t="array" ref="J8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4" spans="10:10" ht="16" hidden="1" customHeight="1">
      <c r="J884" s="5" t="str">
        <f t="array" ref="J8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5" spans="10:10" ht="16" hidden="1" customHeight="1">
      <c r="J885" s="5" t="str">
        <f t="array" ref="J8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6" spans="10:10" ht="16" hidden="1" customHeight="1">
      <c r="J886" s="5" t="str">
        <f t="array" ref="J8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7" spans="10:10" ht="16" hidden="1" customHeight="1">
      <c r="J887" s="5" t="str">
        <f t="array" ref="J8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8" spans="10:10" ht="16" hidden="1" customHeight="1">
      <c r="J888" s="5" t="str">
        <f t="array" ref="J8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9" spans="10:10" ht="16" hidden="1" customHeight="1">
      <c r="J889" s="5" t="str">
        <f t="array" ref="J8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0" spans="10:10" ht="16" hidden="1" customHeight="1">
      <c r="J890" s="5" t="str">
        <f t="array" ref="J8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1" spans="10:10" ht="16" hidden="1" customHeight="1">
      <c r="J891" s="5" t="str">
        <f t="array" ref="J8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2" spans="10:10" ht="16" hidden="1" customHeight="1">
      <c r="J892" s="5" t="str">
        <f t="array" ref="J8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3" spans="10:10" ht="16" hidden="1" customHeight="1">
      <c r="J893" s="5" t="str">
        <f t="array" ref="J8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4" spans="10:10" ht="16" hidden="1" customHeight="1">
      <c r="J894" s="5" t="str">
        <f t="array" ref="J8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5" spans="10:10" ht="16" hidden="1" customHeight="1">
      <c r="J895" s="5" t="str">
        <f t="array" ref="J8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6" spans="10:10" ht="16" hidden="1" customHeight="1">
      <c r="J896" s="5" t="str">
        <f t="array" ref="J8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7" spans="10:10" ht="16" hidden="1" customHeight="1">
      <c r="J897" s="5" t="str">
        <f t="array" ref="J8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8" spans="10:10" ht="16" hidden="1" customHeight="1">
      <c r="J898" s="5" t="str">
        <f t="array" ref="J8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9" spans="10:10" ht="16" hidden="1" customHeight="1">
      <c r="J899" s="5" t="str">
        <f t="array" ref="J8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0" spans="10:10" ht="16" hidden="1" customHeight="1">
      <c r="J900" s="5" t="str">
        <f t="array" ref="J9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1" spans="10:10" ht="16" hidden="1" customHeight="1">
      <c r="J901" s="5" t="str">
        <f t="array" ref="J9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2" spans="10:10" ht="16" hidden="1" customHeight="1">
      <c r="J902" s="5" t="str">
        <f t="array" ref="J9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3" spans="10:10" ht="16" hidden="1" customHeight="1">
      <c r="J903" s="5" t="str">
        <f t="array" ref="J9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4" spans="10:10" ht="16" hidden="1" customHeight="1">
      <c r="J904" s="5" t="str">
        <f t="array" ref="J9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5" spans="10:10" ht="16" hidden="1" customHeight="1">
      <c r="J905" s="5" t="str">
        <f t="array" ref="J9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6" spans="10:10" ht="16" hidden="1" customHeight="1">
      <c r="J906" s="5" t="str">
        <f t="array" ref="J9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7" spans="10:10" ht="16" hidden="1" customHeight="1">
      <c r="J907" s="5" t="str">
        <f t="array" ref="J9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8" spans="10:10" ht="16" hidden="1" customHeight="1">
      <c r="J908" s="5" t="str">
        <f t="array" ref="J9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9" spans="10:10" ht="16" hidden="1" customHeight="1">
      <c r="J909" s="5" t="str">
        <f t="array" ref="J9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0" spans="10:10" ht="16" hidden="1" customHeight="1">
      <c r="J910" s="5" t="str">
        <f t="array" ref="J9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1" spans="10:10" ht="16" hidden="1" customHeight="1">
      <c r="J911" s="5" t="str">
        <f t="array" ref="J9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2" spans="10:10" ht="16" hidden="1" customHeight="1">
      <c r="J912" s="5" t="str">
        <f t="array" ref="J9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3" spans="10:10" ht="16" hidden="1" customHeight="1">
      <c r="J913" s="5" t="str">
        <f t="array" ref="J9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4" spans="10:10" ht="16" hidden="1" customHeight="1">
      <c r="J914" s="5" t="str">
        <f t="array" ref="J9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5" spans="10:10" ht="16" hidden="1" customHeight="1">
      <c r="J915" s="5" t="str">
        <f t="array" ref="J9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6" spans="10:10" ht="16" hidden="1" customHeight="1">
      <c r="J916" s="5" t="str">
        <f t="array" ref="J9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7" spans="10:10" ht="16" hidden="1" customHeight="1">
      <c r="J917" s="5" t="str">
        <f t="array" ref="J9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8" spans="10:10" ht="16" hidden="1" customHeight="1">
      <c r="J918" s="5" t="str">
        <f t="array" ref="J9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9" spans="10:10" ht="16" hidden="1" customHeight="1">
      <c r="J919" s="5" t="str">
        <f t="array" ref="J9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0" spans="10:10" ht="16" hidden="1" customHeight="1">
      <c r="J920" s="5" t="str">
        <f t="array" ref="J9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1" spans="10:10" ht="16" hidden="1" customHeight="1">
      <c r="J921" s="5" t="str">
        <f t="array" ref="J9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2" spans="10:10" ht="16" hidden="1" customHeight="1">
      <c r="J922" s="5" t="str">
        <f t="array" ref="J9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3" spans="10:10" ht="16" hidden="1" customHeight="1">
      <c r="J923" s="5" t="str">
        <f t="array" ref="J9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4" spans="10:10" ht="16" hidden="1" customHeight="1">
      <c r="J924" s="5" t="str">
        <f t="array" ref="J9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5" spans="10:10" ht="16" hidden="1" customHeight="1">
      <c r="J925" s="5" t="str">
        <f t="array" ref="J9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6" spans="10:10" ht="16" hidden="1" customHeight="1">
      <c r="J926" s="5" t="str">
        <f t="array" ref="J9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7" spans="10:10" ht="16" hidden="1" customHeight="1">
      <c r="J927" s="5" t="str">
        <f t="array" ref="J9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8" spans="10:10" ht="16" hidden="1" customHeight="1">
      <c r="J928" s="5" t="str">
        <f t="array" ref="J9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9" spans="10:10" ht="16" hidden="1" customHeight="1">
      <c r="J929" s="5" t="str">
        <f t="array" ref="J9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0" spans="10:10" ht="16" hidden="1" customHeight="1">
      <c r="J930" s="5" t="str">
        <f t="array" ref="J9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1" spans="10:10" ht="16" hidden="1" customHeight="1">
      <c r="J931" s="5" t="str">
        <f t="array" ref="J9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2" spans="10:10" ht="16" hidden="1" customHeight="1">
      <c r="J932" s="5" t="str">
        <f t="array" ref="J9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3" spans="10:10" ht="16" hidden="1" customHeight="1">
      <c r="J933" s="5" t="str">
        <f t="array" ref="J9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4" spans="10:10" ht="16" hidden="1" customHeight="1">
      <c r="J934" s="5" t="str">
        <f t="array" ref="J9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5" spans="10:10" ht="16" hidden="1" customHeight="1">
      <c r="J935" s="5" t="str">
        <f t="array" ref="J9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6" spans="10:10" ht="16" hidden="1" customHeight="1">
      <c r="J936" s="5" t="str">
        <f t="array" ref="J9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7" spans="10:10" ht="16" hidden="1" customHeight="1">
      <c r="J937" s="5" t="str">
        <f t="array" ref="J9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8" spans="10:10" ht="16" hidden="1" customHeight="1">
      <c r="J938" s="5" t="str">
        <f t="array" ref="J9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9" spans="10:10" ht="16" hidden="1" customHeight="1">
      <c r="J939" s="5" t="str">
        <f t="array" ref="J9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0" spans="10:10" ht="16" hidden="1" customHeight="1">
      <c r="J940" s="5" t="str">
        <f t="array" ref="J9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1" spans="10:10" ht="16" hidden="1" customHeight="1">
      <c r="J941" s="5" t="str">
        <f t="array" ref="J9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2" spans="10:10" ht="16" hidden="1" customHeight="1">
      <c r="J942" s="5" t="str">
        <f t="array" ref="J9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3" spans="10:10" ht="16" hidden="1" customHeight="1">
      <c r="J943" s="5" t="str">
        <f t="array" ref="J9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4" spans="10:10" ht="16" hidden="1" customHeight="1">
      <c r="J944" s="5" t="str">
        <f t="array" ref="J9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5" spans="10:10" ht="16" hidden="1" customHeight="1">
      <c r="J945" s="5" t="str">
        <f t="array" ref="J9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6" spans="10:10" ht="16" hidden="1" customHeight="1">
      <c r="J946" s="5" t="str">
        <f t="array" ref="J9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7" spans="10:10" ht="16" hidden="1" customHeight="1">
      <c r="J947" s="5" t="str">
        <f t="array" ref="J9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8" spans="10:10" ht="16" hidden="1" customHeight="1">
      <c r="J948" s="5" t="str">
        <f t="array" ref="J9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9" spans="10:10" ht="16" hidden="1" customHeight="1">
      <c r="J949" s="5" t="str">
        <f t="array" ref="J9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0" spans="10:10" ht="16" hidden="1" customHeight="1">
      <c r="J950" s="5" t="str">
        <f t="array" ref="J9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1" spans="10:10" ht="16" hidden="1" customHeight="1">
      <c r="J951" s="5" t="str">
        <f t="array" ref="J9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2" spans="10:10" ht="16" hidden="1" customHeight="1">
      <c r="J952" s="5" t="str">
        <f t="array" ref="J9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3" spans="10:10" ht="16" hidden="1" customHeight="1">
      <c r="J953" s="5" t="str">
        <f t="array" ref="J9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4" spans="10:10" ht="16" hidden="1" customHeight="1">
      <c r="J954" s="5" t="str">
        <f t="array" ref="J9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5" spans="10:10" ht="16" hidden="1" customHeight="1">
      <c r="J955" s="5" t="str">
        <f t="array" ref="J9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6" spans="10:10" ht="16" hidden="1" customHeight="1">
      <c r="J956" s="5" t="str">
        <f t="array" ref="J9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7" spans="10:10" ht="16" hidden="1" customHeight="1">
      <c r="J957" s="5" t="str">
        <f t="array" ref="J9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8" spans="10:10" ht="16" hidden="1" customHeight="1">
      <c r="J958" s="5" t="str">
        <f t="array" ref="J9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9" spans="10:10" ht="16" hidden="1" customHeight="1">
      <c r="J959" s="5" t="str">
        <f t="array" ref="J9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0" spans="10:10" ht="16" hidden="1" customHeight="1">
      <c r="J960" s="5" t="str">
        <f t="array" ref="J9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1" spans="10:10" ht="16" hidden="1" customHeight="1">
      <c r="J961" s="5" t="str">
        <f t="array" ref="J9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2" spans="10:10" ht="16" hidden="1" customHeight="1">
      <c r="J962" s="5" t="str">
        <f t="array" ref="J9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3" spans="10:10" ht="16" hidden="1" customHeight="1">
      <c r="J963" s="5" t="str">
        <f t="array" ref="J9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4" spans="10:10" ht="16" hidden="1" customHeight="1">
      <c r="J964" s="5" t="str">
        <f t="array" ref="J9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5" spans="10:10" ht="16" hidden="1" customHeight="1">
      <c r="J965" s="5" t="str">
        <f t="array" ref="J9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6" spans="10:10" ht="16" hidden="1" customHeight="1">
      <c r="J966" s="5" t="str">
        <f t="array" ref="J9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7" spans="10:10" ht="16" hidden="1" customHeight="1">
      <c r="J967" s="5" t="str">
        <f t="array" ref="J9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8" spans="10:10" ht="16" hidden="1" customHeight="1">
      <c r="J968" s="5" t="str">
        <f t="array" ref="J9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9" spans="10:10" ht="16" hidden="1" customHeight="1">
      <c r="J969" s="5" t="str">
        <f t="array" ref="J9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0" spans="10:10" ht="16" hidden="1" customHeight="1">
      <c r="J970" s="5" t="str">
        <f t="array" ref="J9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1" spans="10:10" ht="16" hidden="1" customHeight="1">
      <c r="J971" s="5" t="str">
        <f t="array" ref="J9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2" spans="10:10" ht="16" hidden="1" customHeight="1">
      <c r="J972" s="5" t="str">
        <f t="array" ref="J9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3" spans="10:10" ht="16" hidden="1" customHeight="1">
      <c r="J973" s="5" t="str">
        <f t="array" ref="J9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4" spans="10:10" ht="16" hidden="1" customHeight="1">
      <c r="J974" s="5" t="str">
        <f t="array" ref="J9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5" spans="10:10" ht="16" hidden="1" customHeight="1">
      <c r="J975" s="5" t="str">
        <f t="array" ref="J9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6" spans="10:10" ht="16" hidden="1" customHeight="1">
      <c r="J976" s="5" t="str">
        <f t="array" ref="J9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7" spans="10:10" ht="16" hidden="1" customHeight="1">
      <c r="J977" s="5" t="str">
        <f t="array" ref="J9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8" spans="10:10" ht="16" hidden="1" customHeight="1">
      <c r="J978" s="5" t="str">
        <f t="array" ref="J9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9" spans="10:10" ht="16" hidden="1" customHeight="1">
      <c r="J979" s="5" t="str">
        <f t="array" ref="J9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0" spans="10:10" ht="16" hidden="1" customHeight="1">
      <c r="J980" s="5" t="str">
        <f t="array" ref="J9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1" spans="10:10" ht="16" hidden="1" customHeight="1">
      <c r="J981" s="5" t="str">
        <f t="array" ref="J9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2" spans="10:10" ht="16" hidden="1" customHeight="1">
      <c r="J982" s="5" t="str">
        <f t="array" ref="J9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3" spans="10:10" ht="16" hidden="1" customHeight="1">
      <c r="J983" s="5" t="str">
        <f t="array" ref="J9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4" spans="10:10" ht="16" hidden="1" customHeight="1">
      <c r="J984" s="5" t="str">
        <f t="array" ref="J9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5" spans="10:10" ht="16" hidden="1" customHeight="1">
      <c r="J985" s="5" t="str">
        <f t="array" ref="J9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6" spans="10:10" ht="16" hidden="1" customHeight="1">
      <c r="J986" s="5" t="str">
        <f t="array" ref="J9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7" spans="10:10" ht="16" hidden="1" customHeight="1">
      <c r="J987" s="5" t="str">
        <f t="array" ref="J9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8" spans="10:10" ht="16" hidden="1" customHeight="1">
      <c r="J988" s="5" t="str">
        <f t="array" ref="J9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9" spans="10:10" ht="16" hidden="1" customHeight="1">
      <c r="J989" s="5" t="str">
        <f t="array" ref="J9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0" spans="10:10" ht="16" hidden="1" customHeight="1">
      <c r="J990" s="5" t="str">
        <f t="array" ref="J9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1" spans="10:10" ht="16" hidden="1" customHeight="1">
      <c r="J991" s="5" t="str">
        <f t="array" ref="J9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2" spans="10:10" ht="16" hidden="1" customHeight="1">
      <c r="J992" s="5" t="str">
        <f t="array" ref="J9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3" spans="10:10" ht="16" hidden="1" customHeight="1">
      <c r="J993" s="5" t="str">
        <f t="array" ref="J9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4" spans="10:10" ht="16" hidden="1" customHeight="1">
      <c r="J994" s="5" t="str">
        <f t="array" ref="J9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5" spans="10:10" ht="16" hidden="1" customHeight="1">
      <c r="J995" s="5" t="str">
        <f t="array" ref="J9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6" spans="10:10" ht="16" hidden="1" customHeight="1">
      <c r="J996" s="5" t="str">
        <f t="array" ref="J9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7" spans="10:10" ht="16" hidden="1" customHeight="1">
      <c r="J997" s="5" t="str">
        <f t="array" ref="J9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8" spans="10:10" ht="16" hidden="1" customHeight="1">
      <c r="J998" s="5" t="str">
        <f t="array" ref="J9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9" spans="10:10" ht="16" hidden="1" customHeight="1">
      <c r="J999" s="5" t="str">
        <f t="array" ref="J9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0" spans="10:10" ht="16" hidden="1" customHeight="1">
      <c r="J1000" s="5" t="str">
        <f t="array" ref="J10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1" spans="10:10" ht="16" hidden="1" customHeight="1">
      <c r="J1001" s="5" t="str">
        <f t="array" ref="J10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2" spans="10:10" ht="16" hidden="1" customHeight="1">
      <c r="J1002" s="5" t="str">
        <f t="array" ref="J10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3" spans="10:10" ht="16" hidden="1" customHeight="1">
      <c r="J1003" s="5" t="str">
        <f t="array" ref="J10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4" spans="10:10" ht="16" hidden="1" customHeight="1">
      <c r="J1004" s="5" t="str">
        <f t="array" ref="J10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5" spans="10:10" ht="16" hidden="1" customHeight="1">
      <c r="J1005" s="5" t="str">
        <f t="array" ref="J10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6" spans="10:10" ht="16" hidden="1" customHeight="1">
      <c r="J1006" s="5" t="str">
        <f t="array" ref="J10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7" spans="10:10" ht="16" hidden="1" customHeight="1">
      <c r="J1007" s="5" t="str">
        <f t="array" ref="J10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8" spans="10:10" ht="16" hidden="1" customHeight="1">
      <c r="J1008" s="5" t="str">
        <f t="array" ref="J10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9" spans="1:19" ht="16" hidden="1" customHeight="1">
      <c r="J1009" s="5" t="str">
        <f t="array" ref="J10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0" spans="1:19" ht="16" hidden="1" customHeight="1">
      <c r="J1010" s="5" t="str">
        <f t="array" ref="J10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1" spans="1:19" ht="16" hidden="1" customHeight="1">
      <c r="J1011" s="5" t="str">
        <f t="array" ref="J10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2" spans="1:19" ht="16" hidden="1" customHeight="1">
      <c r="J1012" s="5" t="str">
        <f t="array" ref="J10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3" spans="1:19" ht="16" hidden="1" customHeight="1">
      <c r="J1013" s="5" t="str">
        <f t="array" ref="J10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4" spans="1:19" ht="16" hidden="1" customHeight="1">
      <c r="J1014" s="5" t="str">
        <f t="array" ref="J10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5" spans="1:19" ht="16" hidden="1" customHeight="1">
      <c r="J1015" s="5" t="str">
        <f t="array" ref="J10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6" spans="1:19" ht="16" hidden="1" customHeight="1">
      <c r="J1016" s="5" t="str">
        <f t="array" ref="J10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7" spans="1:19" ht="16" hidden="1" customHeight="1">
      <c r="J1017" s="5" t="str">
        <f t="array" ref="J10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8" spans="1:19" ht="16" hidden="1" customHeight="1">
      <c r="J1018" s="5" t="str">
        <f t="array" ref="J10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9" spans="1:19" ht="16" hidden="1" customHeight="1">
      <c r="D1019" t="s">
        <v>33</v>
      </c>
      <c r="J1019" s="5" t="str">
        <f t="array" ref="J10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20" spans="1:19" ht="34" hidden="1" customHeight="1">
      <c r="A1020" s="12" t="s">
        <v>156</v>
      </c>
      <c r="C1020" s="12" t="s">
        <v>29</v>
      </c>
      <c r="D1020" s="12" t="s">
        <v>62</v>
      </c>
      <c r="J1020" s="5" t="str">
        <f t="array" ref="J10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0" s="11" t="s">
        <v>157</v>
      </c>
    </row>
    <row r="1021" spans="1:19" ht="34" hidden="1" customHeight="1">
      <c r="A1021" s="12" t="s">
        <v>156</v>
      </c>
      <c r="C1021" s="12" t="s">
        <v>29</v>
      </c>
      <c r="D1021" s="12" t="s">
        <v>33</v>
      </c>
      <c r="J1021" s="5" t="str">
        <f t="array" ref="J10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21" t="s">
        <v>158</v>
      </c>
      <c r="O1021" t="s">
        <v>34</v>
      </c>
      <c r="P1021" t="s">
        <v>159</v>
      </c>
      <c r="Q1021" s="17">
        <v>1</v>
      </c>
      <c r="S1021" s="11" t="s">
        <v>160</v>
      </c>
    </row>
    <row r="1022" spans="1:19" ht="34" hidden="1" customHeight="1">
      <c r="A1022" s="12" t="s">
        <v>161</v>
      </c>
      <c r="C1022" s="12" t="s">
        <v>29</v>
      </c>
      <c r="D1022" s="12" t="s">
        <v>88</v>
      </c>
      <c r="J1022" s="5" t="str">
        <f t="array" ref="J10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2" s="11" t="s">
        <v>162</v>
      </c>
    </row>
    <row r="1023" spans="1:19" ht="34" hidden="1" customHeight="1">
      <c r="A1023" s="12" t="s">
        <v>161</v>
      </c>
      <c r="C1023" s="12" t="s">
        <v>29</v>
      </c>
      <c r="D1023" s="12" t="s">
        <v>149</v>
      </c>
      <c r="J1023" s="5" t="str">
        <f t="array" ref="J10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3" s="11" t="s">
        <v>163</v>
      </c>
    </row>
    <row r="1024" spans="1:19" ht="34" hidden="1" customHeight="1">
      <c r="A1024" s="12" t="s">
        <v>161</v>
      </c>
      <c r="C1024" s="12" t="s">
        <v>29</v>
      </c>
      <c r="D1024" s="12" t="s">
        <v>150</v>
      </c>
      <c r="J1024" s="5" t="str">
        <f t="array" ref="J10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4" s="11" t="s">
        <v>163</v>
      </c>
    </row>
    <row r="1025" spans="1:19" ht="34" hidden="1" customHeight="1">
      <c r="A1025" s="12" t="s">
        <v>164</v>
      </c>
      <c r="C1025" s="12" t="s">
        <v>29</v>
      </c>
      <c r="D1025" s="12" t="s">
        <v>150</v>
      </c>
      <c r="J1025" s="5" t="str">
        <f t="array" ref="J10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5" s="11" t="s">
        <v>165</v>
      </c>
    </row>
    <row r="1026" spans="1:19" ht="15" hidden="1" customHeight="1">
      <c r="A1026" t="s">
        <v>166</v>
      </c>
      <c r="C1026" t="s">
        <v>29</v>
      </c>
      <c r="J1026" s="5" t="str">
        <f t="array" ref="J10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6" s="11" t="s">
        <v>167</v>
      </c>
    </row>
    <row r="1027" spans="1:19" ht="30" customHeight="1">
      <c r="A1027" t="s">
        <v>168</v>
      </c>
      <c r="C1027" t="s">
        <v>29</v>
      </c>
      <c r="D1027" t="s">
        <v>24</v>
      </c>
      <c r="J1027" s="5" t="str">
        <f t="array" ref="J10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1027" t="s">
        <v>25</v>
      </c>
      <c r="P1027" t="s">
        <v>50</v>
      </c>
      <c r="S1027" s="11" t="s">
        <v>169</v>
      </c>
    </row>
    <row r="1028" spans="1:19" ht="31.5" customHeight="1">
      <c r="A1028" t="s">
        <v>170</v>
      </c>
      <c r="C1028" t="s">
        <v>29</v>
      </c>
      <c r="D1028" t="s">
        <v>33</v>
      </c>
      <c r="J1028" s="5" t="str">
        <f t="array" ref="J10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1028" t="s">
        <v>25</v>
      </c>
      <c r="P1028" t="s">
        <v>50</v>
      </c>
      <c r="S1028" s="11" t="s">
        <v>171</v>
      </c>
    </row>
    <row r="1029" spans="1:19" ht="16" hidden="1">
      <c r="A1029" t="s">
        <v>172</v>
      </c>
      <c r="D1029" t="s">
        <v>33</v>
      </c>
      <c r="J1029" t="str">
        <f t="array" ref="J10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29" t="s">
        <v>173</v>
      </c>
      <c r="O1029" t="s">
        <v>34</v>
      </c>
      <c r="P1029" t="s">
        <v>174</v>
      </c>
      <c r="Q1029" s="17">
        <v>1</v>
      </c>
    </row>
    <row r="1030" spans="1:19" ht="16" hidden="1">
      <c r="A1030" t="s">
        <v>175</v>
      </c>
      <c r="D1030" t="s">
        <v>24</v>
      </c>
      <c r="J1030" t="str">
        <f t="array" ref="J10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0" t="s">
        <v>91</v>
      </c>
      <c r="O1030" t="s">
        <v>34</v>
      </c>
      <c r="P1030" t="s">
        <v>176</v>
      </c>
      <c r="Q1030" s="17">
        <v>1</v>
      </c>
    </row>
    <row r="1031" spans="1:19" ht="16" hidden="1">
      <c r="A1031" t="s">
        <v>177</v>
      </c>
      <c r="B1031" s="7" t="s">
        <v>22</v>
      </c>
      <c r="C1031" t="s">
        <v>38</v>
      </c>
      <c r="D1031" t="s">
        <v>24</v>
      </c>
      <c r="J1031" t="str">
        <f t="array" ref="J10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1" t="s">
        <v>116</v>
      </c>
      <c r="O1031" t="s">
        <v>34</v>
      </c>
      <c r="P1031" t="s">
        <v>178</v>
      </c>
      <c r="Q1031" s="17">
        <v>1</v>
      </c>
    </row>
    <row r="1032" spans="1:19" ht="16" hidden="1">
      <c r="A1032" t="s">
        <v>179</v>
      </c>
      <c r="B1032" s="7" t="s">
        <v>22</v>
      </c>
      <c r="C1032" t="s">
        <v>38</v>
      </c>
      <c r="D1032" t="s">
        <v>33</v>
      </c>
      <c r="J1032" t="str">
        <f t="array" ref="J10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2" t="s">
        <v>180</v>
      </c>
      <c r="O1032" t="s">
        <v>34</v>
      </c>
      <c r="P1032" t="s">
        <v>181</v>
      </c>
      <c r="Q1032" s="17">
        <v>1</v>
      </c>
    </row>
    <row r="1033" spans="1:19" ht="16" hidden="1">
      <c r="A1033" t="s">
        <v>182</v>
      </c>
      <c r="B1033" s="7" t="s">
        <v>22</v>
      </c>
      <c r="C1033" t="s">
        <v>38</v>
      </c>
      <c r="D1033" t="s">
        <v>33</v>
      </c>
      <c r="J1033" t="str">
        <f t="array" ref="J10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3" t="s">
        <v>180</v>
      </c>
      <c r="O1033" t="s">
        <v>34</v>
      </c>
      <c r="P1033" t="s">
        <v>183</v>
      </c>
      <c r="Q1033" s="17">
        <v>1</v>
      </c>
    </row>
    <row r="1034" spans="1:19" ht="16" hidden="1">
      <c r="A1034" t="s">
        <v>184</v>
      </c>
      <c r="D1034" t="s">
        <v>33</v>
      </c>
      <c r="J1034" t="str">
        <f t="array" ref="J10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4" t="s">
        <v>180</v>
      </c>
      <c r="O1034" t="s">
        <v>34</v>
      </c>
      <c r="P1034" t="s">
        <v>185</v>
      </c>
      <c r="Q1034" s="17">
        <v>1</v>
      </c>
    </row>
    <row r="1035" spans="1:19" ht="16" hidden="1">
      <c r="A1035" t="s">
        <v>186</v>
      </c>
      <c r="B1035" s="7" t="s">
        <v>22</v>
      </c>
      <c r="C1035" t="s">
        <v>38</v>
      </c>
      <c r="D1035" t="s">
        <v>33</v>
      </c>
      <c r="J1035" t="str">
        <f t="array" ref="J10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5" t="s">
        <v>180</v>
      </c>
      <c r="O1035" t="s">
        <v>34</v>
      </c>
      <c r="P1035" t="s">
        <v>187</v>
      </c>
      <c r="Q1035" s="17">
        <v>1</v>
      </c>
    </row>
    <row r="1036" spans="1:19" ht="16" hidden="1">
      <c r="A1036" t="s">
        <v>188</v>
      </c>
      <c r="D1036" t="s">
        <v>33</v>
      </c>
      <c r="J1036" t="str">
        <f t="array" ref="J10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6" t="s">
        <v>189</v>
      </c>
      <c r="O1036" t="s">
        <v>34</v>
      </c>
      <c r="P1036" t="s">
        <v>190</v>
      </c>
      <c r="Q1036" s="17">
        <v>1</v>
      </c>
    </row>
    <row r="1037" spans="1:19" ht="16" hidden="1">
      <c r="A1037" t="s">
        <v>191</v>
      </c>
      <c r="B1037" s="7" t="s">
        <v>22</v>
      </c>
      <c r="C1037" t="s">
        <v>38</v>
      </c>
      <c r="D1037" t="s">
        <v>33</v>
      </c>
      <c r="J1037" t="str">
        <f t="array" ref="J10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7" t="s">
        <v>192</v>
      </c>
      <c r="O1037" t="s">
        <v>34</v>
      </c>
      <c r="P1037" t="s">
        <v>193</v>
      </c>
      <c r="Q1037" s="17">
        <v>1</v>
      </c>
    </row>
    <row r="1038" spans="1:19" ht="16" hidden="1">
      <c r="A1038" t="s">
        <v>194</v>
      </c>
      <c r="D1038" t="s">
        <v>33</v>
      </c>
      <c r="J1038" t="str">
        <f t="array" ref="J10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8" t="s">
        <v>192</v>
      </c>
      <c r="O1038" t="s">
        <v>34</v>
      </c>
      <c r="P1038" t="s">
        <v>195</v>
      </c>
      <c r="Q1038" s="17">
        <v>1</v>
      </c>
    </row>
    <row r="1039" spans="1:19" ht="16" hidden="1">
      <c r="A1039" t="s">
        <v>196</v>
      </c>
      <c r="D1039" t="s">
        <v>33</v>
      </c>
      <c r="J1039" t="str">
        <f t="array" ref="J10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39" t="s">
        <v>192</v>
      </c>
      <c r="O1039" t="s">
        <v>34</v>
      </c>
      <c r="P1039" t="s">
        <v>197</v>
      </c>
      <c r="Q1039" s="17">
        <v>1</v>
      </c>
    </row>
    <row r="1040" spans="1:19" ht="16" hidden="1">
      <c r="A1040" t="s">
        <v>198</v>
      </c>
      <c r="D1040" t="s">
        <v>33</v>
      </c>
      <c r="J1040" t="str">
        <f t="array" ref="J10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0" t="s">
        <v>199</v>
      </c>
      <c r="O1040" t="s">
        <v>34</v>
      </c>
      <c r="P1040" t="s">
        <v>200</v>
      </c>
      <c r="Q1040" s="17">
        <v>1</v>
      </c>
    </row>
    <row r="1041" spans="1:17" ht="16" hidden="1">
      <c r="A1041" t="s">
        <v>201</v>
      </c>
      <c r="D1041" t="s">
        <v>24</v>
      </c>
      <c r="J1041" t="str">
        <f t="array" ref="J10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1" t="s">
        <v>202</v>
      </c>
      <c r="O1041" t="s">
        <v>34</v>
      </c>
      <c r="P1041" t="s">
        <v>203</v>
      </c>
      <c r="Q1041" s="17">
        <v>1</v>
      </c>
    </row>
    <row r="1042" spans="1:17" ht="16" hidden="1">
      <c r="A1042" t="s">
        <v>204</v>
      </c>
      <c r="D1042" t="s">
        <v>33</v>
      </c>
      <c r="J1042" t="str">
        <f t="array" ref="J10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2" t="s">
        <v>205</v>
      </c>
      <c r="O1042" t="s">
        <v>25</v>
      </c>
      <c r="P1042" t="s">
        <v>27</v>
      </c>
      <c r="Q1042" s="17">
        <v>0</v>
      </c>
    </row>
    <row r="1043" spans="1:17" ht="16" hidden="1">
      <c r="A1043" t="s">
        <v>206</v>
      </c>
      <c r="D1043" t="s">
        <v>24</v>
      </c>
      <c r="J1043" t="str">
        <f t="array" ref="J10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3" t="s">
        <v>207</v>
      </c>
      <c r="O1043" t="s">
        <v>25</v>
      </c>
      <c r="P1043" t="s">
        <v>27</v>
      </c>
      <c r="Q1043" s="17">
        <v>0</v>
      </c>
    </row>
    <row r="1044" spans="1:17" ht="16" hidden="1">
      <c r="A1044" t="s">
        <v>208</v>
      </c>
      <c r="D1044" t="s">
        <v>24</v>
      </c>
      <c r="J1044" t="str">
        <f t="array" ref="J10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4" t="s">
        <v>207</v>
      </c>
      <c r="O1044" t="s">
        <v>25</v>
      </c>
      <c r="P1044" t="s">
        <v>27</v>
      </c>
      <c r="Q1044" s="17">
        <v>0</v>
      </c>
    </row>
    <row r="1045" spans="1:17" ht="16" hidden="1">
      <c r="A1045" t="s">
        <v>209</v>
      </c>
      <c r="D1045" t="s">
        <v>24</v>
      </c>
      <c r="J1045" t="str">
        <f t="array" ref="J10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5" t="s">
        <v>207</v>
      </c>
      <c r="O1045" t="s">
        <v>25</v>
      </c>
      <c r="P1045" t="s">
        <v>27</v>
      </c>
      <c r="Q1045" s="17">
        <v>0</v>
      </c>
    </row>
    <row r="1046" spans="1:17" ht="16" hidden="1">
      <c r="A1046" t="s">
        <v>210</v>
      </c>
      <c r="D1046" t="s">
        <v>33</v>
      </c>
      <c r="J1046" t="str">
        <f t="array" ref="J10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6" t="s">
        <v>211</v>
      </c>
      <c r="O1046" t="s">
        <v>25</v>
      </c>
      <c r="P1046" t="s">
        <v>27</v>
      </c>
      <c r="Q1046" s="17">
        <v>0</v>
      </c>
    </row>
    <row r="1047" spans="1:17" ht="16" hidden="1">
      <c r="A1047" t="s">
        <v>212</v>
      </c>
      <c r="D1047" t="s">
        <v>24</v>
      </c>
      <c r="J1047" t="str">
        <f t="array" ref="J10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7" t="s">
        <v>213</v>
      </c>
      <c r="O1047" t="s">
        <v>25</v>
      </c>
      <c r="P1047" t="s">
        <v>27</v>
      </c>
      <c r="Q1047" s="17">
        <v>0</v>
      </c>
    </row>
    <row r="1048" spans="1:17" ht="16" hidden="1">
      <c r="A1048" t="s">
        <v>214</v>
      </c>
      <c r="D1048" t="s">
        <v>24</v>
      </c>
      <c r="J1048" t="str">
        <f t="array" ref="J10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8" t="s">
        <v>215</v>
      </c>
      <c r="O1048" t="s">
        <v>25</v>
      </c>
      <c r="P1048" t="s">
        <v>27</v>
      </c>
      <c r="Q1048" s="17">
        <v>0</v>
      </c>
    </row>
    <row r="1049" spans="1:17" ht="16" hidden="1">
      <c r="A1049" t="s">
        <v>216</v>
      </c>
      <c r="D1049" t="s">
        <v>24</v>
      </c>
      <c r="J1049" t="str">
        <f t="array" ref="J10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49" t="s">
        <v>217</v>
      </c>
      <c r="O1049" t="s">
        <v>25</v>
      </c>
      <c r="P1049" t="s">
        <v>92</v>
      </c>
      <c r="Q1049" s="17">
        <v>0</v>
      </c>
    </row>
    <row r="1050" spans="1:17" ht="16" hidden="1">
      <c r="A1050" t="s">
        <v>218</v>
      </c>
      <c r="D1050" t="s">
        <v>24</v>
      </c>
      <c r="J1050" t="str">
        <f t="array" ref="J10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0" t="s">
        <v>219</v>
      </c>
      <c r="O1050" t="s">
        <v>25</v>
      </c>
      <c r="P1050" t="s">
        <v>92</v>
      </c>
      <c r="Q1050" s="17">
        <v>0</v>
      </c>
    </row>
    <row r="1051" spans="1:17" ht="16" hidden="1">
      <c r="A1051" t="s">
        <v>147</v>
      </c>
      <c r="D1051" t="s">
        <v>33</v>
      </c>
      <c r="J1051" t="str">
        <f t="array" ref="J10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1" t="s">
        <v>220</v>
      </c>
      <c r="O1051" t="s">
        <v>25</v>
      </c>
      <c r="P1051" t="s">
        <v>92</v>
      </c>
      <c r="Q1051" s="17">
        <v>0</v>
      </c>
    </row>
    <row r="1052" spans="1:17" ht="16" hidden="1">
      <c r="A1052" t="s">
        <v>147</v>
      </c>
      <c r="D1052" t="s">
        <v>24</v>
      </c>
      <c r="J1052" t="str">
        <f t="array" ref="J10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2" t="s">
        <v>220</v>
      </c>
      <c r="O1052" t="s">
        <v>25</v>
      </c>
      <c r="P1052" t="s">
        <v>92</v>
      </c>
      <c r="Q1052" s="17">
        <v>0</v>
      </c>
    </row>
    <row r="1053" spans="1:17" ht="16" hidden="1">
      <c r="A1053" t="s">
        <v>221</v>
      </c>
      <c r="C1053" t="s">
        <v>38</v>
      </c>
      <c r="D1053" t="s">
        <v>24</v>
      </c>
      <c r="J1053" t="str">
        <f t="array" ref="J10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3" t="s">
        <v>222</v>
      </c>
      <c r="O1053" t="s">
        <v>25</v>
      </c>
      <c r="P1053" t="s">
        <v>27</v>
      </c>
      <c r="Q1053" s="17">
        <v>0</v>
      </c>
    </row>
    <row r="1054" spans="1:17" ht="16" hidden="1">
      <c r="A1054" t="s">
        <v>223</v>
      </c>
      <c r="C1054" t="s">
        <v>38</v>
      </c>
      <c r="D1054" t="s">
        <v>24</v>
      </c>
      <c r="J1054" t="str">
        <f t="array" ref="J10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4" t="s">
        <v>224</v>
      </c>
      <c r="O1054" t="s">
        <v>25</v>
      </c>
      <c r="P1054" t="s">
        <v>127</v>
      </c>
    </row>
    <row r="1055" spans="1:17" ht="16" hidden="1">
      <c r="A1055" t="s">
        <v>225</v>
      </c>
      <c r="D1055" t="s">
        <v>33</v>
      </c>
      <c r="J1055" t="str">
        <f t="array" ref="J10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5" t="s">
        <v>226</v>
      </c>
      <c r="O1055" t="s">
        <v>25</v>
      </c>
      <c r="P1055" t="s">
        <v>92</v>
      </c>
      <c r="Q1055" s="17">
        <v>0</v>
      </c>
    </row>
    <row r="1056" spans="1:17" ht="16" hidden="1">
      <c r="A1056" t="s">
        <v>227</v>
      </c>
      <c r="D1056" t="s">
        <v>33</v>
      </c>
      <c r="J1056" t="str">
        <f t="array" ref="J10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6" t="s">
        <v>228</v>
      </c>
      <c r="O1056" t="s">
        <v>34</v>
      </c>
      <c r="P1056" t="s">
        <v>229</v>
      </c>
      <c r="Q1056" s="17">
        <v>1</v>
      </c>
    </row>
    <row r="1057" spans="1:17" ht="16" hidden="1">
      <c r="A1057" t="s">
        <v>227</v>
      </c>
      <c r="D1057" t="s">
        <v>24</v>
      </c>
      <c r="J1057" t="str">
        <f t="array" ref="J10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7" t="s">
        <v>228</v>
      </c>
      <c r="O1057" t="s">
        <v>25</v>
      </c>
      <c r="P1057" t="s">
        <v>230</v>
      </c>
      <c r="Q1057" s="17">
        <v>0</v>
      </c>
    </row>
    <row r="1058" spans="1:17" ht="16" hidden="1">
      <c r="A1058" t="s">
        <v>231</v>
      </c>
      <c r="D1058" t="s">
        <v>24</v>
      </c>
      <c r="J1058" t="str">
        <f t="array" ref="J10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8" t="s">
        <v>232</v>
      </c>
      <c r="O1058" t="s">
        <v>25</v>
      </c>
      <c r="P1058" t="s">
        <v>233</v>
      </c>
    </row>
    <row r="1059" spans="1:17" ht="16" hidden="1">
      <c r="A1059" t="s">
        <v>234</v>
      </c>
      <c r="D1059" t="s">
        <v>24</v>
      </c>
      <c r="J1059" t="str">
        <f t="array" ref="J10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59" t="s">
        <v>235</v>
      </c>
      <c r="O1059" t="s">
        <v>34</v>
      </c>
      <c r="P1059" t="s">
        <v>236</v>
      </c>
      <c r="Q1059" s="17">
        <v>1</v>
      </c>
    </row>
    <row r="1060" spans="1:17" ht="16" hidden="1">
      <c r="A1060" t="s">
        <v>237</v>
      </c>
      <c r="D1060" t="s">
        <v>33</v>
      </c>
      <c r="J1060" t="str">
        <f t="array" ref="J10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0" t="s">
        <v>35</v>
      </c>
      <c r="O1060" t="s">
        <v>34</v>
      </c>
      <c r="P1060" t="s">
        <v>238</v>
      </c>
      <c r="Q1060" s="17">
        <v>1</v>
      </c>
    </row>
    <row r="1061" spans="1:17" ht="16" hidden="1">
      <c r="A1061" t="s">
        <v>239</v>
      </c>
      <c r="C1061" t="s">
        <v>38</v>
      </c>
      <c r="D1061" t="s">
        <v>24</v>
      </c>
      <c r="J1061" t="str">
        <f t="array" ref="J10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1" t="s">
        <v>39</v>
      </c>
      <c r="O1061" t="s">
        <v>25</v>
      </c>
      <c r="P1061" t="s">
        <v>27</v>
      </c>
      <c r="Q1061" s="17">
        <v>0</v>
      </c>
    </row>
    <row r="1062" spans="1:17" ht="16" hidden="1">
      <c r="A1062" t="s">
        <v>240</v>
      </c>
      <c r="D1062" t="s">
        <v>33</v>
      </c>
      <c r="J1062" t="str">
        <f t="array" ref="J10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2" t="s">
        <v>35</v>
      </c>
      <c r="O1062" t="s">
        <v>34</v>
      </c>
      <c r="P1062" t="s">
        <v>241</v>
      </c>
      <c r="Q1062" s="17">
        <v>1</v>
      </c>
    </row>
    <row r="1063" spans="1:17" ht="16" hidden="1">
      <c r="A1063" t="s">
        <v>242</v>
      </c>
      <c r="C1063" t="s">
        <v>38</v>
      </c>
      <c r="D1063" t="s">
        <v>24</v>
      </c>
      <c r="J1063" t="str">
        <f t="array" ref="J10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3" t="s">
        <v>91</v>
      </c>
      <c r="O1063" t="s">
        <v>25</v>
      </c>
      <c r="P1063" t="s">
        <v>92</v>
      </c>
      <c r="Q1063" s="17">
        <v>0</v>
      </c>
    </row>
    <row r="1064" spans="1:17" ht="16" hidden="1">
      <c r="A1064" t="s">
        <v>243</v>
      </c>
      <c r="C1064" t="s">
        <v>38</v>
      </c>
      <c r="D1064" t="s">
        <v>24</v>
      </c>
      <c r="J1064" t="str">
        <f t="array" ref="J10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4" t="s">
        <v>91</v>
      </c>
      <c r="O1064" t="s">
        <v>25</v>
      </c>
      <c r="P1064" t="s">
        <v>92</v>
      </c>
      <c r="Q1064" s="17">
        <v>0</v>
      </c>
    </row>
    <row r="1065" spans="1:17" ht="16" hidden="1">
      <c r="A1065" t="s">
        <v>97</v>
      </c>
      <c r="D1065" t="s">
        <v>33</v>
      </c>
      <c r="J1065" t="str">
        <f t="array" ref="J10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5" t="s">
        <v>244</v>
      </c>
      <c r="O1065" t="s">
        <v>25</v>
      </c>
      <c r="P1065" t="s">
        <v>245</v>
      </c>
    </row>
    <row r="1066" spans="1:17" ht="16" hidden="1">
      <c r="A1066" t="s">
        <v>246</v>
      </c>
      <c r="D1066" t="s">
        <v>33</v>
      </c>
      <c r="J1066" t="str">
        <f t="array" ref="J10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6" t="s">
        <v>247</v>
      </c>
      <c r="O1066" t="s">
        <v>34</v>
      </c>
      <c r="P1066" t="s">
        <v>248</v>
      </c>
      <c r="Q1066" s="17">
        <v>1</v>
      </c>
    </row>
    <row r="1067" spans="1:17" ht="16" hidden="1">
      <c r="A1067" t="s">
        <v>249</v>
      </c>
      <c r="D1067" t="s">
        <v>33</v>
      </c>
      <c r="J1067" t="str">
        <f t="array" ref="J10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7" t="s">
        <v>68</v>
      </c>
      <c r="O1067" t="s">
        <v>25</v>
      </c>
      <c r="P1067" t="s">
        <v>127</v>
      </c>
    </row>
    <row r="1068" spans="1:17" ht="16" hidden="1">
      <c r="A1068" t="s">
        <v>250</v>
      </c>
      <c r="B1068" s="7" t="s">
        <v>22</v>
      </c>
      <c r="C1068" t="s">
        <v>38</v>
      </c>
      <c r="D1068" t="s">
        <v>33</v>
      </c>
      <c r="J1068" t="str">
        <f t="array" ref="J10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8" t="s">
        <v>251</v>
      </c>
      <c r="O1068" t="s">
        <v>34</v>
      </c>
      <c r="P1068" t="s">
        <v>252</v>
      </c>
      <c r="Q1068" s="17">
        <v>1</v>
      </c>
    </row>
    <row r="1069" spans="1:17" ht="16" hidden="1">
      <c r="A1069" t="s">
        <v>253</v>
      </c>
      <c r="D1069" t="s">
        <v>33</v>
      </c>
      <c r="J1069" t="str">
        <f t="array" ref="J10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69" t="s">
        <v>251</v>
      </c>
      <c r="O1069" t="s">
        <v>34</v>
      </c>
      <c r="P1069" t="s">
        <v>254</v>
      </c>
      <c r="Q1069" s="17">
        <v>1</v>
      </c>
    </row>
    <row r="1070" spans="1:17" ht="16" hidden="1">
      <c r="A1070" t="s">
        <v>255</v>
      </c>
      <c r="C1070" t="s">
        <v>29</v>
      </c>
      <c r="D1070" t="s">
        <v>24</v>
      </c>
      <c r="J1070" t="str">
        <f t="array" ref="J10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0" t="s">
        <v>256</v>
      </c>
      <c r="O1070" t="s">
        <v>25</v>
      </c>
      <c r="P1070" t="s">
        <v>257</v>
      </c>
    </row>
    <row r="1071" spans="1:17" ht="16" hidden="1">
      <c r="A1071" t="s">
        <v>258</v>
      </c>
      <c r="C1071" t="s">
        <v>29</v>
      </c>
      <c r="D1071" t="s">
        <v>24</v>
      </c>
      <c r="J1071" t="str">
        <f t="array" ref="J10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1" t="s">
        <v>259</v>
      </c>
      <c r="O1071" t="s">
        <v>25</v>
      </c>
      <c r="P1071" t="s">
        <v>257</v>
      </c>
    </row>
    <row r="1072" spans="1:17" ht="16" hidden="1">
      <c r="A1072" t="s">
        <v>260</v>
      </c>
      <c r="C1072" t="s">
        <v>53</v>
      </c>
      <c r="D1072" t="s">
        <v>24</v>
      </c>
      <c r="J1072" t="str">
        <f t="array" ref="J10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2" t="s">
        <v>256</v>
      </c>
      <c r="O1072" t="s">
        <v>25</v>
      </c>
      <c r="P1072" t="s">
        <v>261</v>
      </c>
    </row>
    <row r="1073" spans="1:17" ht="16" hidden="1">
      <c r="A1073" t="s">
        <v>262</v>
      </c>
      <c r="C1073" t="s">
        <v>29</v>
      </c>
      <c r="D1073" t="s">
        <v>24</v>
      </c>
      <c r="J1073" t="str">
        <f t="array" ref="J10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3" t="s">
        <v>259</v>
      </c>
      <c r="O1073" t="s">
        <v>25</v>
      </c>
      <c r="P1073" t="s">
        <v>257</v>
      </c>
    </row>
    <row r="1074" spans="1:17" ht="16" hidden="1">
      <c r="A1074" t="s">
        <v>263</v>
      </c>
      <c r="C1074" t="s">
        <v>53</v>
      </c>
      <c r="D1074" t="s">
        <v>24</v>
      </c>
      <c r="J1074" t="str">
        <f t="array" ref="J10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4" t="s">
        <v>264</v>
      </c>
      <c r="O1074" t="s">
        <v>34</v>
      </c>
      <c r="P1074" t="s">
        <v>265</v>
      </c>
      <c r="Q1074" s="17">
        <v>1</v>
      </c>
    </row>
    <row r="1075" spans="1:17" ht="16" hidden="1">
      <c r="A1075" t="s">
        <v>234</v>
      </c>
      <c r="C1075" t="s">
        <v>29</v>
      </c>
      <c r="D1075" t="s">
        <v>33</v>
      </c>
      <c r="J1075" t="str">
        <f t="array" ref="J10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5" t="s">
        <v>41</v>
      </c>
      <c r="O1075" t="s">
        <v>25</v>
      </c>
      <c r="P1075" t="s">
        <v>42</v>
      </c>
    </row>
    <row r="1076" spans="1:17" ht="16" hidden="1">
      <c r="A1076" t="s">
        <v>266</v>
      </c>
      <c r="D1076" t="s">
        <v>33</v>
      </c>
      <c r="J1076" t="str">
        <f t="array" ref="J10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6" t="s">
        <v>41</v>
      </c>
      <c r="O1076" t="s">
        <v>25</v>
      </c>
      <c r="P1076" t="s">
        <v>42</v>
      </c>
    </row>
    <row r="1077" spans="1:17" ht="16" hidden="1">
      <c r="A1077" t="s">
        <v>267</v>
      </c>
      <c r="C1077" t="s">
        <v>29</v>
      </c>
      <c r="D1077" t="s">
        <v>33</v>
      </c>
      <c r="J1077" t="str">
        <f t="array" ref="J10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7" t="s">
        <v>268</v>
      </c>
      <c r="O1077" t="s">
        <v>25</v>
      </c>
      <c r="P1077" t="s">
        <v>269</v>
      </c>
    </row>
    <row r="1078" spans="1:17" ht="16" hidden="1">
      <c r="A1078" t="s">
        <v>270</v>
      </c>
      <c r="C1078" t="s">
        <v>38</v>
      </c>
      <c r="D1078" t="s">
        <v>24</v>
      </c>
      <c r="J1078" t="str">
        <f t="array" ref="J10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8" t="s">
        <v>271</v>
      </c>
      <c r="O1078" t="s">
        <v>34</v>
      </c>
      <c r="P1078" t="s">
        <v>272</v>
      </c>
      <c r="Q1078" s="17">
        <v>0.57999999999999996</v>
      </c>
    </row>
    <row r="1079" spans="1:17" ht="16" hidden="1">
      <c r="A1079" t="s">
        <v>273</v>
      </c>
      <c r="C1079" t="s">
        <v>38</v>
      </c>
      <c r="D1079" t="s">
        <v>24</v>
      </c>
      <c r="J1079" t="str">
        <f t="array" ref="J10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79" t="s">
        <v>271</v>
      </c>
      <c r="O1079" t="s">
        <v>34</v>
      </c>
      <c r="P1079" t="s">
        <v>274</v>
      </c>
      <c r="Q1079" s="17">
        <v>0.61699999999999999</v>
      </c>
    </row>
  </sheetData>
  <conditionalFormatting sqref="B2:B1048576">
    <cfRule type="containsText" dxfId="1" priority="1" operator="containsText" text="None">
      <formula>NOT(ISERROR(SEARCH("None",B2)))</formula>
    </cfRule>
    <cfRule type="containsText" dxfId="0" priority="2" operator="containsText" text="High">
      <formula>NOT(ISERROR(SEARCH("High",B2)))</formula>
    </cfRule>
  </conditionalFormatting>
  <conditionalFormatting sqref="J2:J1048576">
    <cfRule type="colorScale" priority="3">
      <colorScale>
        <cfvo type="num" val="0"/>
        <cfvo type="num" val="5"/>
        <cfvo type="num" val="10"/>
        <color rgb="FFFF0000"/>
        <color rgb="FFFFFF00"/>
        <color rgb="FF00B050"/>
      </colorScale>
    </cfRule>
  </conditionalFormatting>
  <dataValidations count="8">
    <dataValidation type="list" allowBlank="1" showInputMessage="1" showErrorMessage="1" sqref="C2:C1048576" xr:uid="{00000000-0002-0000-0000-000000000000}">
      <formula1>INDIRECT("RefValues[cust_segment]")</formula1>
    </dataValidation>
    <dataValidation type="list" allowBlank="1" showInputMessage="1" showErrorMessage="1" sqref="D2:D1048576" xr:uid="{00000000-0002-0000-0000-000001000000}">
      <formula1>INDIRECT("RefValues[tech]")</formula1>
    </dataValidation>
    <dataValidation type="list" allowBlank="1" showInputMessage="1" showErrorMessage="1" sqref="E2:E1048576" xr:uid="{00000000-0002-0000-0000-000002000000}">
      <formula1>INDIRECT("RefValues[ext_svc]")</formula1>
    </dataValidation>
    <dataValidation type="list" allowBlank="1" showInputMessage="1" showErrorMessage="1" sqref="F2:F1048576" xr:uid="{00000000-0002-0000-0000-000003000000}">
      <formula1>INDIRECT("RefValues[deal_size]")</formula1>
    </dataValidation>
    <dataValidation type="list" allowBlank="1" showInputMessage="1" showErrorMessage="1" sqref="G2:G1048576" xr:uid="{00000000-0002-0000-0000-000004000000}">
      <formula1>INDIRECT("RefValues[net_access]")</formula1>
    </dataValidation>
    <dataValidation type="list" allowBlank="1" showInputMessage="1" showErrorMessage="1" sqref="I2:I1048576" xr:uid="{00000000-0002-0000-0000-000005000000}">
      <formula1>INDIRECT("RefValues[impl_team]")</formula1>
    </dataValidation>
    <dataValidation type="list" operator="greaterThan" allowBlank="1" showInputMessage="1" showErrorMessage="1" sqref="H2:H1048576" xr:uid="{00000000-0002-0000-0000-000006000000}">
      <formula1>INDIRECT("RefValues[start_date]")</formula1>
    </dataValidation>
    <dataValidation type="list" allowBlank="1" showInputMessage="1" showErrorMessage="1" sqref="B2:B1048576" xr:uid="{00000000-0002-0000-0000-000007000000}">
      <formula1>INDIRECT("RefValues[priority]")</formula1>
    </dataValidation>
  </dataValidations>
  <pageMargins left="0.7" right="0.7" top="0.75" bottom="0.75" header="0.3" footer="0.3"/>
  <headerFooter>
    <oddFooter>&amp;R&amp;"Aptos"&amp;8 &amp;K000000_x000D_# Cisco Confidential_x000D_&amp;1#&amp;"Aptos"&amp;8&amp;K000000 Cisco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6"/>
  <sheetViews>
    <sheetView workbookViewId="0"/>
  </sheetViews>
  <sheetFormatPr baseColWidth="10" defaultColWidth="8.83203125" defaultRowHeight="16"/>
  <sheetData>
    <row r="1" spans="1:12">
      <c r="A1" t="s">
        <v>275</v>
      </c>
    </row>
    <row r="3" spans="1:12">
      <c r="A3" t="s">
        <v>276</v>
      </c>
    </row>
    <row r="4" spans="1:12">
      <c r="B4" t="s">
        <v>277</v>
      </c>
      <c r="C4" t="s">
        <v>62</v>
      </c>
      <c r="D4" t="s">
        <v>24</v>
      </c>
      <c r="E4" t="s">
        <v>122</v>
      </c>
      <c r="F4" t="s">
        <v>105</v>
      </c>
      <c r="G4" t="s">
        <v>149</v>
      </c>
      <c r="H4" t="s">
        <v>88</v>
      </c>
      <c r="I4" t="s">
        <v>74</v>
      </c>
      <c r="J4" t="s">
        <v>83</v>
      </c>
      <c r="K4" t="s">
        <v>150</v>
      </c>
      <c r="L4" t="s">
        <v>33</v>
      </c>
    </row>
    <row r="5" spans="1:12">
      <c r="A5" t="s">
        <v>21</v>
      </c>
      <c r="B5">
        <v>0</v>
      </c>
      <c r="C5">
        <v>0</v>
      </c>
      <c r="D5">
        <v>1</v>
      </c>
      <c r="E5">
        <v>0</v>
      </c>
      <c r="F5">
        <v>0</v>
      </c>
      <c r="G5">
        <v>0</v>
      </c>
      <c r="H5">
        <v>0</v>
      </c>
      <c r="I5">
        <v>0</v>
      </c>
      <c r="J5">
        <v>0</v>
      </c>
      <c r="K5">
        <v>0</v>
      </c>
      <c r="L5">
        <v>0</v>
      </c>
    </row>
    <row r="6" spans="1:12">
      <c r="A6" t="s">
        <v>28</v>
      </c>
      <c r="B6">
        <v>0</v>
      </c>
      <c r="C6">
        <v>0</v>
      </c>
      <c r="D6">
        <v>1</v>
      </c>
      <c r="E6">
        <v>0</v>
      </c>
      <c r="F6">
        <v>0</v>
      </c>
      <c r="G6">
        <v>0</v>
      </c>
      <c r="H6">
        <v>0</v>
      </c>
      <c r="I6">
        <v>0</v>
      </c>
      <c r="J6">
        <v>0</v>
      </c>
      <c r="K6">
        <v>0</v>
      </c>
      <c r="L6">
        <v>0</v>
      </c>
    </row>
    <row r="7" spans="1:12">
      <c r="A7" t="s">
        <v>37</v>
      </c>
      <c r="B7">
        <v>0</v>
      </c>
      <c r="C7">
        <v>0</v>
      </c>
      <c r="D7">
        <v>1</v>
      </c>
      <c r="E7">
        <v>0</v>
      </c>
      <c r="F7">
        <v>0</v>
      </c>
      <c r="G7">
        <v>0</v>
      </c>
      <c r="H7">
        <v>0</v>
      </c>
      <c r="I7">
        <v>0</v>
      </c>
      <c r="J7">
        <v>0</v>
      </c>
      <c r="K7">
        <v>0</v>
      </c>
      <c r="L7">
        <v>0</v>
      </c>
    </row>
    <row r="8" spans="1:12">
      <c r="A8" t="s">
        <v>32</v>
      </c>
      <c r="B8">
        <v>0</v>
      </c>
      <c r="C8">
        <v>0</v>
      </c>
      <c r="D8">
        <v>0</v>
      </c>
      <c r="E8">
        <v>0</v>
      </c>
      <c r="F8">
        <v>0</v>
      </c>
      <c r="G8">
        <v>0</v>
      </c>
      <c r="H8">
        <v>0</v>
      </c>
      <c r="I8">
        <v>0</v>
      </c>
      <c r="J8">
        <v>0</v>
      </c>
      <c r="K8">
        <v>0</v>
      </c>
      <c r="L8">
        <v>1</v>
      </c>
    </row>
    <row r="9" spans="1:12">
      <c r="A9" t="s">
        <v>40</v>
      </c>
      <c r="B9">
        <v>0</v>
      </c>
      <c r="C9">
        <v>0</v>
      </c>
      <c r="D9">
        <v>0</v>
      </c>
      <c r="E9">
        <v>0</v>
      </c>
      <c r="F9">
        <v>0</v>
      </c>
      <c r="G9">
        <v>0</v>
      </c>
      <c r="H9">
        <v>0</v>
      </c>
      <c r="I9">
        <v>0</v>
      </c>
      <c r="J9">
        <v>0</v>
      </c>
      <c r="K9">
        <v>0</v>
      </c>
      <c r="L9">
        <v>1</v>
      </c>
    </row>
    <row r="10" spans="1:12">
      <c r="A10" t="s">
        <v>43</v>
      </c>
      <c r="B10">
        <v>0</v>
      </c>
      <c r="C10">
        <v>0</v>
      </c>
      <c r="D10">
        <v>1</v>
      </c>
      <c r="E10">
        <v>0</v>
      </c>
      <c r="F10">
        <v>0</v>
      </c>
      <c r="G10">
        <v>0</v>
      </c>
      <c r="H10">
        <v>0</v>
      </c>
      <c r="I10">
        <v>0</v>
      </c>
      <c r="J10">
        <v>0</v>
      </c>
      <c r="K10">
        <v>0</v>
      </c>
      <c r="L10">
        <v>1</v>
      </c>
    </row>
    <row r="11" spans="1:12">
      <c r="A11" t="s">
        <v>155</v>
      </c>
      <c r="B11">
        <v>1</v>
      </c>
      <c r="C11">
        <v>0</v>
      </c>
      <c r="D11">
        <v>0</v>
      </c>
      <c r="E11">
        <v>0</v>
      </c>
      <c r="F11">
        <v>0</v>
      </c>
      <c r="G11">
        <v>0</v>
      </c>
      <c r="H11">
        <v>0</v>
      </c>
      <c r="I11">
        <v>0</v>
      </c>
      <c r="J11">
        <v>0</v>
      </c>
      <c r="K11">
        <v>0</v>
      </c>
      <c r="L11">
        <v>0</v>
      </c>
    </row>
    <row r="12" spans="1:12">
      <c r="A12" t="s">
        <v>44</v>
      </c>
      <c r="B12">
        <v>0</v>
      </c>
      <c r="C12">
        <v>0</v>
      </c>
      <c r="D12">
        <v>0</v>
      </c>
      <c r="E12">
        <v>0</v>
      </c>
      <c r="F12">
        <v>0</v>
      </c>
      <c r="G12">
        <v>0</v>
      </c>
      <c r="H12">
        <v>0</v>
      </c>
      <c r="I12">
        <v>0</v>
      </c>
      <c r="J12">
        <v>0</v>
      </c>
      <c r="K12">
        <v>0</v>
      </c>
      <c r="L12">
        <v>1</v>
      </c>
    </row>
    <row r="13" spans="1:12">
      <c r="A13" t="s">
        <v>260</v>
      </c>
      <c r="B13">
        <v>0</v>
      </c>
      <c r="C13">
        <v>0</v>
      </c>
      <c r="D13">
        <v>1</v>
      </c>
      <c r="E13">
        <v>0</v>
      </c>
      <c r="F13">
        <v>0</v>
      </c>
      <c r="G13">
        <v>0</v>
      </c>
      <c r="H13">
        <v>0</v>
      </c>
      <c r="I13">
        <v>0</v>
      </c>
      <c r="J13">
        <v>0</v>
      </c>
      <c r="K13">
        <v>0</v>
      </c>
      <c r="L13">
        <v>0</v>
      </c>
    </row>
    <row r="14" spans="1:12">
      <c r="A14" t="s">
        <v>231</v>
      </c>
      <c r="B14">
        <v>0</v>
      </c>
      <c r="C14">
        <v>0</v>
      </c>
      <c r="D14">
        <v>1</v>
      </c>
      <c r="E14">
        <v>0</v>
      </c>
      <c r="F14">
        <v>0</v>
      </c>
      <c r="G14">
        <v>0</v>
      </c>
      <c r="H14">
        <v>0</v>
      </c>
      <c r="I14">
        <v>0</v>
      </c>
      <c r="J14">
        <v>0</v>
      </c>
      <c r="K14">
        <v>0</v>
      </c>
      <c r="L14">
        <v>0</v>
      </c>
    </row>
    <row r="15" spans="1:12">
      <c r="A15" t="s">
        <v>51</v>
      </c>
      <c r="B15">
        <v>0</v>
      </c>
      <c r="C15">
        <v>0</v>
      </c>
      <c r="D15">
        <v>0</v>
      </c>
      <c r="E15">
        <v>0</v>
      </c>
      <c r="F15">
        <v>0</v>
      </c>
      <c r="G15">
        <v>0</v>
      </c>
      <c r="H15">
        <v>0</v>
      </c>
      <c r="I15">
        <v>0</v>
      </c>
      <c r="J15">
        <v>0</v>
      </c>
      <c r="K15">
        <v>0</v>
      </c>
      <c r="L15">
        <v>1</v>
      </c>
    </row>
    <row r="16" spans="1:12">
      <c r="A16" t="s">
        <v>242</v>
      </c>
      <c r="B16">
        <v>0</v>
      </c>
      <c r="C16">
        <v>0</v>
      </c>
      <c r="D16">
        <v>1</v>
      </c>
      <c r="E16">
        <v>0</v>
      </c>
      <c r="F16">
        <v>0</v>
      </c>
      <c r="G16">
        <v>0</v>
      </c>
      <c r="H16">
        <v>0</v>
      </c>
      <c r="I16">
        <v>0</v>
      </c>
      <c r="J16">
        <v>0</v>
      </c>
      <c r="K16">
        <v>0</v>
      </c>
      <c r="L16">
        <v>0</v>
      </c>
    </row>
    <row r="17" spans="1:12">
      <c r="A17" t="s">
        <v>258</v>
      </c>
      <c r="B17">
        <v>0</v>
      </c>
      <c r="C17">
        <v>0</v>
      </c>
      <c r="D17">
        <v>1</v>
      </c>
      <c r="E17">
        <v>0</v>
      </c>
      <c r="F17">
        <v>0</v>
      </c>
      <c r="G17">
        <v>0</v>
      </c>
      <c r="H17">
        <v>0</v>
      </c>
      <c r="I17">
        <v>0</v>
      </c>
      <c r="J17">
        <v>0</v>
      </c>
      <c r="K17">
        <v>0</v>
      </c>
      <c r="L17">
        <v>0</v>
      </c>
    </row>
    <row r="18" spans="1:12">
      <c r="A18" t="s">
        <v>246</v>
      </c>
      <c r="B18">
        <v>0</v>
      </c>
      <c r="C18">
        <v>0</v>
      </c>
      <c r="D18">
        <v>0</v>
      </c>
      <c r="E18">
        <v>0</v>
      </c>
      <c r="F18">
        <v>0</v>
      </c>
      <c r="G18">
        <v>0</v>
      </c>
      <c r="H18">
        <v>0</v>
      </c>
      <c r="I18">
        <v>0</v>
      </c>
      <c r="J18">
        <v>0</v>
      </c>
      <c r="K18">
        <v>0</v>
      </c>
      <c r="L18">
        <v>1</v>
      </c>
    </row>
    <row r="19" spans="1:12">
      <c r="A19" t="s">
        <v>253</v>
      </c>
      <c r="B19">
        <v>0</v>
      </c>
      <c r="C19">
        <v>0</v>
      </c>
      <c r="D19">
        <v>0</v>
      </c>
      <c r="E19">
        <v>0</v>
      </c>
      <c r="F19">
        <v>0</v>
      </c>
      <c r="G19">
        <v>0</v>
      </c>
      <c r="H19">
        <v>0</v>
      </c>
      <c r="I19">
        <v>0</v>
      </c>
      <c r="J19">
        <v>0</v>
      </c>
      <c r="K19">
        <v>0</v>
      </c>
      <c r="L19">
        <v>1</v>
      </c>
    </row>
    <row r="20" spans="1:12">
      <c r="A20" t="s">
        <v>71</v>
      </c>
      <c r="B20">
        <v>0</v>
      </c>
      <c r="C20">
        <v>0</v>
      </c>
      <c r="D20">
        <v>0</v>
      </c>
      <c r="E20">
        <v>0</v>
      </c>
      <c r="F20">
        <v>0</v>
      </c>
      <c r="G20">
        <v>0</v>
      </c>
      <c r="H20">
        <v>0</v>
      </c>
      <c r="I20">
        <v>1</v>
      </c>
      <c r="J20">
        <v>0</v>
      </c>
      <c r="K20">
        <v>0</v>
      </c>
      <c r="L20">
        <v>1</v>
      </c>
    </row>
    <row r="21" spans="1:12">
      <c r="A21" t="s">
        <v>76</v>
      </c>
      <c r="B21">
        <v>0</v>
      </c>
      <c r="C21">
        <v>0</v>
      </c>
      <c r="D21">
        <v>1</v>
      </c>
      <c r="E21">
        <v>0</v>
      </c>
      <c r="F21">
        <v>0</v>
      </c>
      <c r="G21">
        <v>0</v>
      </c>
      <c r="H21">
        <v>0</v>
      </c>
      <c r="I21">
        <v>0</v>
      </c>
      <c r="J21">
        <v>0</v>
      </c>
      <c r="K21">
        <v>0</v>
      </c>
      <c r="L21">
        <v>0</v>
      </c>
    </row>
    <row r="22" spans="1:12">
      <c r="A22" t="s">
        <v>221</v>
      </c>
      <c r="B22">
        <v>0</v>
      </c>
      <c r="C22">
        <v>0</v>
      </c>
      <c r="D22">
        <v>1</v>
      </c>
      <c r="E22">
        <v>0</v>
      </c>
      <c r="F22">
        <v>0</v>
      </c>
      <c r="G22">
        <v>0</v>
      </c>
      <c r="H22">
        <v>0</v>
      </c>
      <c r="I22">
        <v>0</v>
      </c>
      <c r="J22">
        <v>0</v>
      </c>
      <c r="K22">
        <v>0</v>
      </c>
      <c r="L22">
        <v>0</v>
      </c>
    </row>
    <row r="23" spans="1:12">
      <c r="A23" t="s">
        <v>153</v>
      </c>
      <c r="B23">
        <v>1</v>
      </c>
      <c r="C23">
        <v>0</v>
      </c>
      <c r="D23">
        <v>0</v>
      </c>
      <c r="E23">
        <v>0</v>
      </c>
      <c r="F23">
        <v>0</v>
      </c>
      <c r="G23">
        <v>0</v>
      </c>
      <c r="H23">
        <v>0</v>
      </c>
      <c r="I23">
        <v>0</v>
      </c>
      <c r="J23">
        <v>0</v>
      </c>
      <c r="K23">
        <v>0</v>
      </c>
      <c r="L23">
        <v>0</v>
      </c>
    </row>
    <row r="24" spans="1:12">
      <c r="A24" t="s">
        <v>179</v>
      </c>
      <c r="B24">
        <v>0</v>
      </c>
      <c r="C24">
        <v>0</v>
      </c>
      <c r="D24">
        <v>0</v>
      </c>
      <c r="E24">
        <v>0</v>
      </c>
      <c r="F24">
        <v>0</v>
      </c>
      <c r="G24">
        <v>0</v>
      </c>
      <c r="H24">
        <v>0</v>
      </c>
      <c r="I24">
        <v>0</v>
      </c>
      <c r="J24">
        <v>0</v>
      </c>
      <c r="K24">
        <v>0</v>
      </c>
      <c r="L24">
        <v>1</v>
      </c>
    </row>
    <row r="25" spans="1:12">
      <c r="A25" t="s">
        <v>262</v>
      </c>
      <c r="B25">
        <v>0</v>
      </c>
      <c r="C25">
        <v>0</v>
      </c>
      <c r="D25">
        <v>1</v>
      </c>
      <c r="E25">
        <v>0</v>
      </c>
      <c r="F25">
        <v>0</v>
      </c>
      <c r="G25">
        <v>0</v>
      </c>
      <c r="H25">
        <v>0</v>
      </c>
      <c r="I25">
        <v>0</v>
      </c>
      <c r="J25">
        <v>0</v>
      </c>
      <c r="K25">
        <v>0</v>
      </c>
      <c r="L25">
        <v>0</v>
      </c>
    </row>
    <row r="26" spans="1:12">
      <c r="A26" t="s">
        <v>208</v>
      </c>
      <c r="B26">
        <v>0</v>
      </c>
      <c r="C26">
        <v>0</v>
      </c>
      <c r="D26">
        <v>1</v>
      </c>
      <c r="E26">
        <v>0</v>
      </c>
      <c r="F26">
        <v>0</v>
      </c>
      <c r="G26">
        <v>0</v>
      </c>
      <c r="H26">
        <v>0</v>
      </c>
      <c r="I26">
        <v>0</v>
      </c>
      <c r="J26">
        <v>0</v>
      </c>
      <c r="K26">
        <v>0</v>
      </c>
      <c r="L26">
        <v>0</v>
      </c>
    </row>
    <row r="27" spans="1:12">
      <c r="A27" t="s">
        <v>58</v>
      </c>
      <c r="B27">
        <v>0</v>
      </c>
      <c r="C27">
        <v>1</v>
      </c>
      <c r="D27">
        <v>1</v>
      </c>
      <c r="E27">
        <v>0</v>
      </c>
      <c r="F27">
        <v>0</v>
      </c>
      <c r="G27">
        <v>0</v>
      </c>
      <c r="H27">
        <v>0</v>
      </c>
      <c r="I27">
        <v>0</v>
      </c>
      <c r="J27">
        <v>0</v>
      </c>
      <c r="K27">
        <v>0</v>
      </c>
      <c r="L27">
        <v>1</v>
      </c>
    </row>
    <row r="28" spans="1:12">
      <c r="A28" t="s">
        <v>188</v>
      </c>
      <c r="B28">
        <v>0</v>
      </c>
      <c r="C28">
        <v>0</v>
      </c>
      <c r="D28">
        <v>0</v>
      </c>
      <c r="E28">
        <v>0</v>
      </c>
      <c r="F28">
        <v>0</v>
      </c>
      <c r="G28">
        <v>0</v>
      </c>
      <c r="H28">
        <v>0</v>
      </c>
      <c r="I28">
        <v>0</v>
      </c>
      <c r="J28">
        <v>0</v>
      </c>
      <c r="K28">
        <v>0</v>
      </c>
      <c r="L28">
        <v>1</v>
      </c>
    </row>
    <row r="29" spans="1:12">
      <c r="A29" t="s">
        <v>156</v>
      </c>
      <c r="B29">
        <v>0</v>
      </c>
      <c r="C29">
        <v>1</v>
      </c>
      <c r="D29">
        <v>0</v>
      </c>
      <c r="E29">
        <v>0</v>
      </c>
      <c r="F29">
        <v>0</v>
      </c>
      <c r="G29">
        <v>0</v>
      </c>
      <c r="H29">
        <v>0</v>
      </c>
      <c r="I29">
        <v>0</v>
      </c>
      <c r="J29">
        <v>0</v>
      </c>
      <c r="K29">
        <v>0</v>
      </c>
      <c r="L29">
        <v>1</v>
      </c>
    </row>
    <row r="30" spans="1:12">
      <c r="A30" t="s">
        <v>255</v>
      </c>
      <c r="B30">
        <v>0</v>
      </c>
      <c r="C30">
        <v>0</v>
      </c>
      <c r="D30">
        <v>1</v>
      </c>
      <c r="E30">
        <v>0</v>
      </c>
      <c r="F30">
        <v>0</v>
      </c>
      <c r="G30">
        <v>0</v>
      </c>
      <c r="H30">
        <v>0</v>
      </c>
      <c r="I30">
        <v>0</v>
      </c>
      <c r="J30">
        <v>0</v>
      </c>
      <c r="K30">
        <v>0</v>
      </c>
      <c r="L30">
        <v>0</v>
      </c>
    </row>
    <row r="31" spans="1:12">
      <c r="A31" t="s">
        <v>63</v>
      </c>
      <c r="B31">
        <v>0</v>
      </c>
      <c r="C31">
        <v>0</v>
      </c>
      <c r="D31">
        <v>0</v>
      </c>
      <c r="E31">
        <v>0</v>
      </c>
      <c r="F31">
        <v>0</v>
      </c>
      <c r="G31">
        <v>0</v>
      </c>
      <c r="H31">
        <v>0</v>
      </c>
      <c r="I31">
        <v>0</v>
      </c>
      <c r="J31">
        <v>0</v>
      </c>
      <c r="K31">
        <v>0</v>
      </c>
      <c r="L31">
        <v>1</v>
      </c>
    </row>
    <row r="32" spans="1:12">
      <c r="A32" t="s">
        <v>78</v>
      </c>
      <c r="B32">
        <v>0</v>
      </c>
      <c r="C32">
        <v>0</v>
      </c>
      <c r="D32">
        <v>1</v>
      </c>
      <c r="E32">
        <v>0</v>
      </c>
      <c r="F32">
        <v>0</v>
      </c>
      <c r="G32">
        <v>0</v>
      </c>
      <c r="H32">
        <v>0</v>
      </c>
      <c r="I32">
        <v>0</v>
      </c>
      <c r="J32">
        <v>0</v>
      </c>
      <c r="K32">
        <v>0</v>
      </c>
      <c r="L32">
        <v>0</v>
      </c>
    </row>
    <row r="33" spans="1:12">
      <c r="A33" t="s">
        <v>82</v>
      </c>
      <c r="B33">
        <v>0</v>
      </c>
      <c r="C33">
        <v>0</v>
      </c>
      <c r="D33">
        <v>0</v>
      </c>
      <c r="E33">
        <v>0</v>
      </c>
      <c r="F33">
        <v>0</v>
      </c>
      <c r="G33">
        <v>0</v>
      </c>
      <c r="H33">
        <v>0</v>
      </c>
      <c r="I33">
        <v>0</v>
      </c>
      <c r="J33">
        <v>1</v>
      </c>
      <c r="K33">
        <v>0</v>
      </c>
      <c r="L33">
        <v>1</v>
      </c>
    </row>
    <row r="34" spans="1:12">
      <c r="A34" t="s">
        <v>186</v>
      </c>
      <c r="B34">
        <v>0</v>
      </c>
      <c r="C34">
        <v>0</v>
      </c>
      <c r="D34">
        <v>0</v>
      </c>
      <c r="E34">
        <v>0</v>
      </c>
      <c r="F34">
        <v>0</v>
      </c>
      <c r="G34">
        <v>0</v>
      </c>
      <c r="H34">
        <v>0</v>
      </c>
      <c r="I34">
        <v>0</v>
      </c>
      <c r="J34">
        <v>0</v>
      </c>
      <c r="K34">
        <v>0</v>
      </c>
      <c r="L34">
        <v>1</v>
      </c>
    </row>
    <row r="35" spans="1:12">
      <c r="A35" t="s">
        <v>227</v>
      </c>
      <c r="B35">
        <v>0</v>
      </c>
      <c r="C35">
        <v>0</v>
      </c>
      <c r="D35">
        <v>1</v>
      </c>
      <c r="E35">
        <v>0</v>
      </c>
      <c r="F35">
        <v>0</v>
      </c>
      <c r="G35">
        <v>0</v>
      </c>
      <c r="H35">
        <v>0</v>
      </c>
      <c r="I35">
        <v>0</v>
      </c>
      <c r="J35">
        <v>0</v>
      </c>
      <c r="K35">
        <v>0</v>
      </c>
      <c r="L35">
        <v>1</v>
      </c>
    </row>
    <row r="36" spans="1:12">
      <c r="A36" t="s">
        <v>170</v>
      </c>
      <c r="B36">
        <v>0</v>
      </c>
      <c r="C36">
        <v>0</v>
      </c>
      <c r="D36">
        <v>0</v>
      </c>
      <c r="E36">
        <v>0</v>
      </c>
      <c r="F36">
        <v>0</v>
      </c>
      <c r="G36">
        <v>0</v>
      </c>
      <c r="H36">
        <v>0</v>
      </c>
      <c r="I36">
        <v>0</v>
      </c>
      <c r="J36">
        <v>0</v>
      </c>
      <c r="K36">
        <v>0</v>
      </c>
      <c r="L36">
        <v>1</v>
      </c>
    </row>
    <row r="37" spans="1:12">
      <c r="A37" t="s">
        <v>225</v>
      </c>
      <c r="B37">
        <v>0</v>
      </c>
      <c r="C37">
        <v>0</v>
      </c>
      <c r="D37">
        <v>0</v>
      </c>
      <c r="E37">
        <v>0</v>
      </c>
      <c r="F37">
        <v>0</v>
      </c>
      <c r="G37">
        <v>0</v>
      </c>
      <c r="H37">
        <v>0</v>
      </c>
      <c r="I37">
        <v>0</v>
      </c>
      <c r="J37">
        <v>0</v>
      </c>
      <c r="K37">
        <v>0</v>
      </c>
      <c r="L37">
        <v>1</v>
      </c>
    </row>
    <row r="38" spans="1:12">
      <c r="A38" t="s">
        <v>93</v>
      </c>
      <c r="B38">
        <v>0</v>
      </c>
      <c r="C38">
        <v>1</v>
      </c>
      <c r="D38">
        <v>0</v>
      </c>
      <c r="E38">
        <v>0</v>
      </c>
      <c r="F38">
        <v>0</v>
      </c>
      <c r="G38">
        <v>0</v>
      </c>
      <c r="H38">
        <v>0</v>
      </c>
      <c r="I38">
        <v>0</v>
      </c>
      <c r="J38">
        <v>1</v>
      </c>
      <c r="K38">
        <v>0</v>
      </c>
      <c r="L38">
        <v>1</v>
      </c>
    </row>
    <row r="39" spans="1:12">
      <c r="A39" t="s">
        <v>86</v>
      </c>
      <c r="B39">
        <v>0</v>
      </c>
      <c r="C39">
        <v>1</v>
      </c>
      <c r="D39">
        <v>0</v>
      </c>
      <c r="E39">
        <v>0</v>
      </c>
      <c r="F39">
        <v>0</v>
      </c>
      <c r="G39">
        <v>0</v>
      </c>
      <c r="H39">
        <v>1</v>
      </c>
      <c r="I39">
        <v>1</v>
      </c>
      <c r="J39">
        <v>1</v>
      </c>
      <c r="K39">
        <v>0</v>
      </c>
      <c r="L39">
        <v>1</v>
      </c>
    </row>
    <row r="40" spans="1:12">
      <c r="A40" t="s">
        <v>90</v>
      </c>
      <c r="B40">
        <v>0</v>
      </c>
      <c r="C40">
        <v>0</v>
      </c>
      <c r="D40">
        <v>1</v>
      </c>
      <c r="E40">
        <v>0</v>
      </c>
      <c r="F40">
        <v>0</v>
      </c>
      <c r="G40">
        <v>0</v>
      </c>
      <c r="H40">
        <v>0</v>
      </c>
      <c r="I40">
        <v>0</v>
      </c>
      <c r="J40">
        <v>0</v>
      </c>
      <c r="K40">
        <v>0</v>
      </c>
      <c r="L40">
        <v>0</v>
      </c>
    </row>
    <row r="41" spans="1:12">
      <c r="A41" t="s">
        <v>182</v>
      </c>
      <c r="B41">
        <v>0</v>
      </c>
      <c r="C41">
        <v>0</v>
      </c>
      <c r="D41">
        <v>0</v>
      </c>
      <c r="E41">
        <v>0</v>
      </c>
      <c r="F41">
        <v>0</v>
      </c>
      <c r="G41">
        <v>0</v>
      </c>
      <c r="H41">
        <v>0</v>
      </c>
      <c r="I41">
        <v>0</v>
      </c>
      <c r="J41">
        <v>0</v>
      </c>
      <c r="K41">
        <v>0</v>
      </c>
      <c r="L41">
        <v>1</v>
      </c>
    </row>
    <row r="42" spans="1:12">
      <c r="A42" t="s">
        <v>97</v>
      </c>
      <c r="B42">
        <v>0</v>
      </c>
      <c r="C42">
        <v>0</v>
      </c>
      <c r="D42">
        <v>1</v>
      </c>
      <c r="E42">
        <v>0</v>
      </c>
      <c r="F42">
        <v>0</v>
      </c>
      <c r="G42">
        <v>0</v>
      </c>
      <c r="H42">
        <v>0</v>
      </c>
      <c r="I42">
        <v>0</v>
      </c>
      <c r="J42">
        <v>0</v>
      </c>
      <c r="K42">
        <v>0</v>
      </c>
      <c r="L42">
        <v>1</v>
      </c>
    </row>
    <row r="43" spans="1:12">
      <c r="A43" t="s">
        <v>218</v>
      </c>
      <c r="B43">
        <v>0</v>
      </c>
      <c r="C43">
        <v>0</v>
      </c>
      <c r="D43">
        <v>1</v>
      </c>
      <c r="E43">
        <v>0</v>
      </c>
      <c r="F43">
        <v>0</v>
      </c>
      <c r="G43">
        <v>0</v>
      </c>
      <c r="H43">
        <v>0</v>
      </c>
      <c r="I43">
        <v>0</v>
      </c>
      <c r="J43">
        <v>0</v>
      </c>
      <c r="K43">
        <v>0</v>
      </c>
      <c r="L43">
        <v>0</v>
      </c>
    </row>
    <row r="44" spans="1:12">
      <c r="A44" t="s">
        <v>234</v>
      </c>
      <c r="B44">
        <v>0</v>
      </c>
      <c r="C44">
        <v>0</v>
      </c>
      <c r="D44">
        <v>1</v>
      </c>
      <c r="E44">
        <v>0</v>
      </c>
      <c r="F44">
        <v>0</v>
      </c>
      <c r="G44">
        <v>0</v>
      </c>
      <c r="H44">
        <v>0</v>
      </c>
      <c r="I44">
        <v>0</v>
      </c>
      <c r="J44">
        <v>0</v>
      </c>
      <c r="K44">
        <v>0</v>
      </c>
      <c r="L44">
        <v>1</v>
      </c>
    </row>
    <row r="45" spans="1:12">
      <c r="A45" t="s">
        <v>172</v>
      </c>
      <c r="B45">
        <v>0</v>
      </c>
      <c r="C45">
        <v>0</v>
      </c>
      <c r="D45">
        <v>0</v>
      </c>
      <c r="E45">
        <v>0</v>
      </c>
      <c r="F45">
        <v>0</v>
      </c>
      <c r="G45">
        <v>0</v>
      </c>
      <c r="H45">
        <v>0</v>
      </c>
      <c r="I45">
        <v>0</v>
      </c>
      <c r="J45">
        <v>0</v>
      </c>
      <c r="K45">
        <v>0</v>
      </c>
      <c r="L45">
        <v>1</v>
      </c>
    </row>
    <row r="46" spans="1:12">
      <c r="A46" t="s">
        <v>99</v>
      </c>
      <c r="B46">
        <v>0</v>
      </c>
      <c r="C46">
        <v>0</v>
      </c>
      <c r="D46">
        <v>1</v>
      </c>
      <c r="E46">
        <v>0</v>
      </c>
      <c r="F46">
        <v>0</v>
      </c>
      <c r="G46">
        <v>0</v>
      </c>
      <c r="H46">
        <v>1</v>
      </c>
      <c r="I46">
        <v>0</v>
      </c>
      <c r="J46">
        <v>0</v>
      </c>
      <c r="K46">
        <v>0</v>
      </c>
      <c r="L46">
        <v>1</v>
      </c>
    </row>
    <row r="47" spans="1:12">
      <c r="A47" t="s">
        <v>263</v>
      </c>
      <c r="B47">
        <v>0</v>
      </c>
      <c r="C47">
        <v>0</v>
      </c>
      <c r="D47">
        <v>1</v>
      </c>
      <c r="E47">
        <v>0</v>
      </c>
      <c r="F47">
        <v>0</v>
      </c>
      <c r="G47">
        <v>0</v>
      </c>
      <c r="H47">
        <v>0</v>
      </c>
      <c r="I47">
        <v>0</v>
      </c>
      <c r="J47">
        <v>0</v>
      </c>
      <c r="K47">
        <v>0</v>
      </c>
      <c r="L47">
        <v>0</v>
      </c>
    </row>
    <row r="48" spans="1:12">
      <c r="A48" t="s">
        <v>237</v>
      </c>
      <c r="B48">
        <v>0</v>
      </c>
      <c r="C48">
        <v>0</v>
      </c>
      <c r="D48">
        <v>0</v>
      </c>
      <c r="E48">
        <v>0</v>
      </c>
      <c r="F48">
        <v>0</v>
      </c>
      <c r="G48">
        <v>0</v>
      </c>
      <c r="H48">
        <v>0</v>
      </c>
      <c r="I48">
        <v>0</v>
      </c>
      <c r="J48">
        <v>0</v>
      </c>
      <c r="K48">
        <v>0</v>
      </c>
      <c r="L48">
        <v>1</v>
      </c>
    </row>
    <row r="49" spans="1:12">
      <c r="A49" t="s">
        <v>144</v>
      </c>
      <c r="B49">
        <v>1</v>
      </c>
      <c r="C49">
        <v>0</v>
      </c>
      <c r="D49">
        <v>0</v>
      </c>
      <c r="E49">
        <v>0</v>
      </c>
      <c r="F49">
        <v>0</v>
      </c>
      <c r="G49">
        <v>0</v>
      </c>
      <c r="H49">
        <v>0</v>
      </c>
      <c r="I49">
        <v>0</v>
      </c>
      <c r="J49">
        <v>0</v>
      </c>
      <c r="K49">
        <v>0</v>
      </c>
      <c r="L49">
        <v>0</v>
      </c>
    </row>
    <row r="50" spans="1:12">
      <c r="A50" t="s">
        <v>191</v>
      </c>
      <c r="B50">
        <v>0</v>
      </c>
      <c r="C50">
        <v>0</v>
      </c>
      <c r="D50">
        <v>0</v>
      </c>
      <c r="E50">
        <v>0</v>
      </c>
      <c r="F50">
        <v>0</v>
      </c>
      <c r="G50">
        <v>0</v>
      </c>
      <c r="H50">
        <v>0</v>
      </c>
      <c r="I50">
        <v>0</v>
      </c>
      <c r="J50">
        <v>0</v>
      </c>
      <c r="K50">
        <v>0</v>
      </c>
      <c r="L50">
        <v>1</v>
      </c>
    </row>
    <row r="51" spans="1:12">
      <c r="A51" t="s">
        <v>148</v>
      </c>
      <c r="B51">
        <v>0</v>
      </c>
      <c r="C51">
        <v>1</v>
      </c>
      <c r="D51">
        <v>1</v>
      </c>
      <c r="E51">
        <v>1</v>
      </c>
      <c r="F51">
        <v>1</v>
      </c>
      <c r="G51">
        <v>1</v>
      </c>
      <c r="H51">
        <v>1</v>
      </c>
      <c r="I51">
        <v>1</v>
      </c>
      <c r="J51">
        <v>1</v>
      </c>
      <c r="K51">
        <v>1</v>
      </c>
      <c r="L51">
        <v>1</v>
      </c>
    </row>
    <row r="52" spans="1:12">
      <c r="A52" t="s">
        <v>249</v>
      </c>
      <c r="B52">
        <v>0</v>
      </c>
      <c r="C52">
        <v>0</v>
      </c>
      <c r="D52">
        <v>0</v>
      </c>
      <c r="E52">
        <v>0</v>
      </c>
      <c r="F52">
        <v>0</v>
      </c>
      <c r="G52">
        <v>0</v>
      </c>
      <c r="H52">
        <v>0</v>
      </c>
      <c r="I52">
        <v>0</v>
      </c>
      <c r="J52">
        <v>0</v>
      </c>
      <c r="K52">
        <v>0</v>
      </c>
      <c r="L52">
        <v>1</v>
      </c>
    </row>
    <row r="53" spans="1:12">
      <c r="A53" t="s">
        <v>204</v>
      </c>
      <c r="B53">
        <v>0</v>
      </c>
      <c r="C53">
        <v>0</v>
      </c>
      <c r="D53">
        <v>0</v>
      </c>
      <c r="E53">
        <v>0</v>
      </c>
      <c r="F53">
        <v>0</v>
      </c>
      <c r="G53">
        <v>0</v>
      </c>
      <c r="H53">
        <v>0</v>
      </c>
      <c r="I53">
        <v>0</v>
      </c>
      <c r="J53">
        <v>0</v>
      </c>
      <c r="K53">
        <v>0</v>
      </c>
      <c r="L53">
        <v>1</v>
      </c>
    </row>
    <row r="54" spans="1:12">
      <c r="A54" t="s">
        <v>194</v>
      </c>
      <c r="B54">
        <v>0</v>
      </c>
      <c r="C54">
        <v>0</v>
      </c>
      <c r="D54">
        <v>0</v>
      </c>
      <c r="E54">
        <v>0</v>
      </c>
      <c r="F54">
        <v>0</v>
      </c>
      <c r="G54">
        <v>0</v>
      </c>
      <c r="H54">
        <v>0</v>
      </c>
      <c r="I54">
        <v>0</v>
      </c>
      <c r="J54">
        <v>0</v>
      </c>
      <c r="K54">
        <v>0</v>
      </c>
      <c r="L54">
        <v>1</v>
      </c>
    </row>
    <row r="55" spans="1:12">
      <c r="A55" t="s">
        <v>206</v>
      </c>
      <c r="B55">
        <v>0</v>
      </c>
      <c r="C55">
        <v>0</v>
      </c>
      <c r="D55">
        <v>1</v>
      </c>
      <c r="E55">
        <v>0</v>
      </c>
      <c r="F55">
        <v>0</v>
      </c>
      <c r="G55">
        <v>0</v>
      </c>
      <c r="H55">
        <v>0</v>
      </c>
      <c r="I55">
        <v>0</v>
      </c>
      <c r="J55">
        <v>0</v>
      </c>
      <c r="K55">
        <v>0</v>
      </c>
      <c r="L55">
        <v>0</v>
      </c>
    </row>
    <row r="56" spans="1:12">
      <c r="A56" t="s">
        <v>100</v>
      </c>
      <c r="B56">
        <v>0</v>
      </c>
      <c r="C56">
        <v>1</v>
      </c>
      <c r="D56">
        <v>0</v>
      </c>
      <c r="E56">
        <v>0</v>
      </c>
      <c r="F56">
        <v>0</v>
      </c>
      <c r="G56">
        <v>0</v>
      </c>
      <c r="H56">
        <v>0</v>
      </c>
      <c r="I56">
        <v>0</v>
      </c>
      <c r="J56">
        <v>0</v>
      </c>
      <c r="K56">
        <v>0</v>
      </c>
      <c r="L56">
        <v>0</v>
      </c>
    </row>
    <row r="57" spans="1:12">
      <c r="A57" t="s">
        <v>111</v>
      </c>
      <c r="B57">
        <v>0</v>
      </c>
      <c r="C57">
        <v>0</v>
      </c>
      <c r="D57">
        <v>1</v>
      </c>
      <c r="E57">
        <v>0</v>
      </c>
      <c r="F57">
        <v>0</v>
      </c>
      <c r="G57">
        <v>0</v>
      </c>
      <c r="H57">
        <v>0</v>
      </c>
      <c r="I57">
        <v>0</v>
      </c>
      <c r="J57">
        <v>1</v>
      </c>
      <c r="K57">
        <v>0</v>
      </c>
      <c r="L57">
        <v>1</v>
      </c>
    </row>
    <row r="58" spans="1:12">
      <c r="A58" t="s">
        <v>273</v>
      </c>
      <c r="B58">
        <v>0</v>
      </c>
      <c r="C58">
        <v>0</v>
      </c>
      <c r="D58">
        <v>1</v>
      </c>
      <c r="E58">
        <v>0</v>
      </c>
      <c r="F58">
        <v>0</v>
      </c>
      <c r="G58">
        <v>0</v>
      </c>
      <c r="H58">
        <v>0</v>
      </c>
      <c r="I58">
        <v>0</v>
      </c>
      <c r="J58">
        <v>0</v>
      </c>
      <c r="K58">
        <v>0</v>
      </c>
      <c r="L58">
        <v>0</v>
      </c>
    </row>
    <row r="59" spans="1:12">
      <c r="A59" t="s">
        <v>177</v>
      </c>
      <c r="B59">
        <v>0</v>
      </c>
      <c r="C59">
        <v>0</v>
      </c>
      <c r="D59">
        <v>1</v>
      </c>
      <c r="E59">
        <v>0</v>
      </c>
      <c r="F59">
        <v>0</v>
      </c>
      <c r="G59">
        <v>0</v>
      </c>
      <c r="H59">
        <v>0</v>
      </c>
      <c r="I59">
        <v>0</v>
      </c>
      <c r="J59">
        <v>0</v>
      </c>
      <c r="K59">
        <v>0</v>
      </c>
      <c r="L59">
        <v>0</v>
      </c>
    </row>
    <row r="60" spans="1:12">
      <c r="A60" t="s">
        <v>270</v>
      </c>
      <c r="B60">
        <v>0</v>
      </c>
      <c r="C60">
        <v>0</v>
      </c>
      <c r="D60">
        <v>1</v>
      </c>
      <c r="E60">
        <v>0</v>
      </c>
      <c r="F60">
        <v>0</v>
      </c>
      <c r="G60">
        <v>0</v>
      </c>
      <c r="H60">
        <v>0</v>
      </c>
      <c r="I60">
        <v>0</v>
      </c>
      <c r="J60">
        <v>0</v>
      </c>
      <c r="K60">
        <v>0</v>
      </c>
      <c r="L60">
        <v>0</v>
      </c>
    </row>
    <row r="61" spans="1:12">
      <c r="A61" t="s">
        <v>141</v>
      </c>
      <c r="B61">
        <v>0</v>
      </c>
      <c r="C61">
        <v>0</v>
      </c>
      <c r="D61">
        <v>0</v>
      </c>
      <c r="E61">
        <v>0</v>
      </c>
      <c r="F61">
        <v>0</v>
      </c>
      <c r="G61">
        <v>0</v>
      </c>
      <c r="H61">
        <v>1</v>
      </c>
      <c r="I61">
        <v>0</v>
      </c>
      <c r="J61">
        <v>0</v>
      </c>
      <c r="K61">
        <v>0</v>
      </c>
      <c r="L61">
        <v>0</v>
      </c>
    </row>
    <row r="62" spans="1:12">
      <c r="A62" t="s">
        <v>101</v>
      </c>
      <c r="B62">
        <v>0</v>
      </c>
      <c r="C62">
        <v>0</v>
      </c>
      <c r="D62">
        <v>1</v>
      </c>
      <c r="E62">
        <v>0</v>
      </c>
      <c r="F62">
        <v>1</v>
      </c>
      <c r="G62">
        <v>0</v>
      </c>
      <c r="H62">
        <v>0</v>
      </c>
      <c r="I62">
        <v>0</v>
      </c>
      <c r="J62">
        <v>0</v>
      </c>
      <c r="K62">
        <v>0</v>
      </c>
      <c r="L62">
        <v>1</v>
      </c>
    </row>
    <row r="63" spans="1:12">
      <c r="A63" t="s">
        <v>250</v>
      </c>
      <c r="B63">
        <v>0</v>
      </c>
      <c r="C63">
        <v>0</v>
      </c>
      <c r="D63">
        <v>0</v>
      </c>
      <c r="E63">
        <v>0</v>
      </c>
      <c r="F63">
        <v>0</v>
      </c>
      <c r="G63">
        <v>0</v>
      </c>
      <c r="H63">
        <v>0</v>
      </c>
      <c r="I63">
        <v>0</v>
      </c>
      <c r="J63">
        <v>0</v>
      </c>
      <c r="K63">
        <v>0</v>
      </c>
      <c r="L63">
        <v>1</v>
      </c>
    </row>
    <row r="64" spans="1:12">
      <c r="A64" t="s">
        <v>196</v>
      </c>
      <c r="B64">
        <v>0</v>
      </c>
      <c r="C64">
        <v>0</v>
      </c>
      <c r="D64">
        <v>0</v>
      </c>
      <c r="E64">
        <v>0</v>
      </c>
      <c r="F64">
        <v>0</v>
      </c>
      <c r="G64">
        <v>0</v>
      </c>
      <c r="H64">
        <v>0</v>
      </c>
      <c r="I64">
        <v>0</v>
      </c>
      <c r="J64">
        <v>0</v>
      </c>
      <c r="K64">
        <v>0</v>
      </c>
      <c r="L64">
        <v>1</v>
      </c>
    </row>
    <row r="65" spans="1:12">
      <c r="A65" t="s">
        <v>107</v>
      </c>
      <c r="B65">
        <v>0</v>
      </c>
      <c r="C65">
        <v>0</v>
      </c>
      <c r="D65">
        <v>1</v>
      </c>
      <c r="E65">
        <v>0</v>
      </c>
      <c r="F65">
        <v>0</v>
      </c>
      <c r="G65">
        <v>0</v>
      </c>
      <c r="H65">
        <v>1</v>
      </c>
      <c r="I65">
        <v>0</v>
      </c>
      <c r="J65">
        <v>0</v>
      </c>
      <c r="K65">
        <v>0</v>
      </c>
      <c r="L65">
        <v>0</v>
      </c>
    </row>
    <row r="66" spans="1:12">
      <c r="A66" t="s">
        <v>110</v>
      </c>
      <c r="B66">
        <v>0</v>
      </c>
      <c r="C66">
        <v>0</v>
      </c>
      <c r="D66">
        <v>1</v>
      </c>
      <c r="E66">
        <v>0</v>
      </c>
      <c r="F66">
        <v>0</v>
      </c>
      <c r="G66">
        <v>0</v>
      </c>
      <c r="H66">
        <v>0</v>
      </c>
      <c r="I66">
        <v>0</v>
      </c>
      <c r="J66">
        <v>0</v>
      </c>
      <c r="K66">
        <v>0</v>
      </c>
      <c r="L66">
        <v>1</v>
      </c>
    </row>
    <row r="67" spans="1:12">
      <c r="A67" t="s">
        <v>240</v>
      </c>
      <c r="B67">
        <v>0</v>
      </c>
      <c r="C67">
        <v>0</v>
      </c>
      <c r="D67">
        <v>0</v>
      </c>
      <c r="E67">
        <v>0</v>
      </c>
      <c r="F67">
        <v>0</v>
      </c>
      <c r="G67">
        <v>0</v>
      </c>
      <c r="H67">
        <v>0</v>
      </c>
      <c r="I67">
        <v>0</v>
      </c>
      <c r="J67">
        <v>0</v>
      </c>
      <c r="K67">
        <v>0</v>
      </c>
      <c r="L67">
        <v>1</v>
      </c>
    </row>
    <row r="68" spans="1:12">
      <c r="A68" t="s">
        <v>175</v>
      </c>
      <c r="B68">
        <v>0</v>
      </c>
      <c r="C68">
        <v>0</v>
      </c>
      <c r="D68">
        <v>1</v>
      </c>
      <c r="E68">
        <v>0</v>
      </c>
      <c r="F68">
        <v>0</v>
      </c>
      <c r="G68">
        <v>0</v>
      </c>
      <c r="H68">
        <v>0</v>
      </c>
      <c r="I68">
        <v>0</v>
      </c>
      <c r="J68">
        <v>0</v>
      </c>
      <c r="K68">
        <v>0</v>
      </c>
      <c r="L68">
        <v>0</v>
      </c>
    </row>
    <row r="69" spans="1:12">
      <c r="A69" t="s">
        <v>212</v>
      </c>
      <c r="B69">
        <v>0</v>
      </c>
      <c r="C69">
        <v>0</v>
      </c>
      <c r="D69">
        <v>1</v>
      </c>
      <c r="E69">
        <v>0</v>
      </c>
      <c r="F69">
        <v>0</v>
      </c>
      <c r="G69">
        <v>0</v>
      </c>
      <c r="H69">
        <v>0</v>
      </c>
      <c r="I69">
        <v>0</v>
      </c>
      <c r="J69">
        <v>0</v>
      </c>
      <c r="K69">
        <v>0</v>
      </c>
      <c r="L69">
        <v>0</v>
      </c>
    </row>
    <row r="70" spans="1:12">
      <c r="A70" t="s">
        <v>118</v>
      </c>
      <c r="B70">
        <v>0</v>
      </c>
      <c r="C70">
        <v>1</v>
      </c>
      <c r="D70">
        <v>0</v>
      </c>
      <c r="E70">
        <v>0</v>
      </c>
      <c r="F70">
        <v>0</v>
      </c>
      <c r="G70">
        <v>0</v>
      </c>
      <c r="H70">
        <v>0</v>
      </c>
      <c r="I70">
        <v>0</v>
      </c>
      <c r="J70">
        <v>0</v>
      </c>
      <c r="K70">
        <v>0</v>
      </c>
      <c r="L70">
        <v>1</v>
      </c>
    </row>
    <row r="71" spans="1:12">
      <c r="A71" t="s">
        <v>120</v>
      </c>
      <c r="B71">
        <v>0</v>
      </c>
      <c r="C71">
        <v>1</v>
      </c>
      <c r="D71">
        <v>1</v>
      </c>
      <c r="E71">
        <v>1</v>
      </c>
      <c r="F71">
        <v>0</v>
      </c>
      <c r="G71">
        <v>0</v>
      </c>
      <c r="H71">
        <v>1</v>
      </c>
      <c r="I71">
        <v>1</v>
      </c>
      <c r="J71">
        <v>0</v>
      </c>
      <c r="K71">
        <v>0</v>
      </c>
      <c r="L71">
        <v>1</v>
      </c>
    </row>
    <row r="72" spans="1:12">
      <c r="A72" t="s">
        <v>239</v>
      </c>
      <c r="B72">
        <v>0</v>
      </c>
      <c r="C72">
        <v>0</v>
      </c>
      <c r="D72">
        <v>1</v>
      </c>
      <c r="E72">
        <v>0</v>
      </c>
      <c r="F72">
        <v>0</v>
      </c>
      <c r="G72">
        <v>0</v>
      </c>
      <c r="H72">
        <v>0</v>
      </c>
      <c r="I72">
        <v>0</v>
      </c>
      <c r="J72">
        <v>0</v>
      </c>
      <c r="K72">
        <v>0</v>
      </c>
      <c r="L72">
        <v>0</v>
      </c>
    </row>
    <row r="73" spans="1:12">
      <c r="A73" t="s">
        <v>151</v>
      </c>
      <c r="B73">
        <v>1</v>
      </c>
      <c r="C73">
        <v>0</v>
      </c>
      <c r="D73">
        <v>0</v>
      </c>
      <c r="E73">
        <v>0</v>
      </c>
      <c r="F73">
        <v>0</v>
      </c>
      <c r="G73">
        <v>0</v>
      </c>
      <c r="H73">
        <v>0</v>
      </c>
      <c r="I73">
        <v>0</v>
      </c>
      <c r="J73">
        <v>0</v>
      </c>
      <c r="K73">
        <v>0</v>
      </c>
      <c r="L73">
        <v>0</v>
      </c>
    </row>
    <row r="74" spans="1:12">
      <c r="A74" t="s">
        <v>210</v>
      </c>
      <c r="B74">
        <v>0</v>
      </c>
      <c r="C74">
        <v>0</v>
      </c>
      <c r="D74">
        <v>0</v>
      </c>
      <c r="E74">
        <v>0</v>
      </c>
      <c r="F74">
        <v>0</v>
      </c>
      <c r="G74">
        <v>0</v>
      </c>
      <c r="H74">
        <v>0</v>
      </c>
      <c r="I74">
        <v>0</v>
      </c>
      <c r="J74">
        <v>0</v>
      </c>
      <c r="K74">
        <v>0</v>
      </c>
      <c r="L74">
        <v>1</v>
      </c>
    </row>
    <row r="75" spans="1:12">
      <c r="A75" t="s">
        <v>125</v>
      </c>
      <c r="B75">
        <v>0</v>
      </c>
      <c r="C75">
        <v>0</v>
      </c>
      <c r="D75">
        <v>0</v>
      </c>
      <c r="E75">
        <v>0</v>
      </c>
      <c r="F75">
        <v>0</v>
      </c>
      <c r="G75">
        <v>0</v>
      </c>
      <c r="H75">
        <v>0</v>
      </c>
      <c r="I75">
        <v>0</v>
      </c>
      <c r="J75">
        <v>1</v>
      </c>
      <c r="K75">
        <v>0</v>
      </c>
      <c r="L75">
        <v>1</v>
      </c>
    </row>
    <row r="76" spans="1:12">
      <c r="A76" t="s">
        <v>267</v>
      </c>
      <c r="B76">
        <v>0</v>
      </c>
      <c r="C76">
        <v>0</v>
      </c>
      <c r="D76">
        <v>0</v>
      </c>
      <c r="E76">
        <v>0</v>
      </c>
      <c r="F76">
        <v>0</v>
      </c>
      <c r="G76">
        <v>0</v>
      </c>
      <c r="H76">
        <v>0</v>
      </c>
      <c r="I76">
        <v>0</v>
      </c>
      <c r="J76">
        <v>0</v>
      </c>
      <c r="K76">
        <v>0</v>
      </c>
      <c r="L76">
        <v>1</v>
      </c>
    </row>
    <row r="77" spans="1:12">
      <c r="A77" t="s">
        <v>166</v>
      </c>
      <c r="B77">
        <v>1</v>
      </c>
      <c r="C77">
        <v>0</v>
      </c>
      <c r="D77">
        <v>0</v>
      </c>
      <c r="E77">
        <v>0</v>
      </c>
      <c r="F77">
        <v>0</v>
      </c>
      <c r="G77">
        <v>0</v>
      </c>
      <c r="H77">
        <v>0</v>
      </c>
      <c r="I77">
        <v>0</v>
      </c>
      <c r="J77">
        <v>0</v>
      </c>
      <c r="K77">
        <v>0</v>
      </c>
      <c r="L77">
        <v>0</v>
      </c>
    </row>
    <row r="78" spans="1:12">
      <c r="A78" t="s">
        <v>123</v>
      </c>
      <c r="B78">
        <v>0</v>
      </c>
      <c r="C78">
        <v>1</v>
      </c>
      <c r="D78">
        <v>0</v>
      </c>
      <c r="E78">
        <v>0</v>
      </c>
      <c r="F78">
        <v>0</v>
      </c>
      <c r="G78">
        <v>0</v>
      </c>
      <c r="H78">
        <v>1</v>
      </c>
      <c r="I78">
        <v>1</v>
      </c>
      <c r="J78">
        <v>0</v>
      </c>
      <c r="K78">
        <v>0</v>
      </c>
      <c r="L78">
        <v>1</v>
      </c>
    </row>
    <row r="79" spans="1:12">
      <c r="A79" t="s">
        <v>209</v>
      </c>
      <c r="B79">
        <v>0</v>
      </c>
      <c r="C79">
        <v>0</v>
      </c>
      <c r="D79">
        <v>1</v>
      </c>
      <c r="E79">
        <v>0</v>
      </c>
      <c r="F79">
        <v>0</v>
      </c>
      <c r="G79">
        <v>0</v>
      </c>
      <c r="H79">
        <v>0</v>
      </c>
      <c r="I79">
        <v>0</v>
      </c>
      <c r="J79">
        <v>0</v>
      </c>
      <c r="K79">
        <v>0</v>
      </c>
      <c r="L79">
        <v>0</v>
      </c>
    </row>
    <row r="80" spans="1:12">
      <c r="A80" t="s">
        <v>131</v>
      </c>
      <c r="B80">
        <v>0</v>
      </c>
      <c r="C80">
        <v>1</v>
      </c>
      <c r="D80">
        <v>1</v>
      </c>
      <c r="E80">
        <v>0</v>
      </c>
      <c r="F80">
        <v>0</v>
      </c>
      <c r="G80">
        <v>0</v>
      </c>
      <c r="H80">
        <v>1</v>
      </c>
      <c r="I80">
        <v>0</v>
      </c>
      <c r="J80">
        <v>0</v>
      </c>
      <c r="K80">
        <v>0</v>
      </c>
      <c r="L80">
        <v>1</v>
      </c>
    </row>
    <row r="81" spans="1:12">
      <c r="A81" t="s">
        <v>161</v>
      </c>
      <c r="B81">
        <v>0</v>
      </c>
      <c r="C81">
        <v>0</v>
      </c>
      <c r="D81">
        <v>0</v>
      </c>
      <c r="E81">
        <v>0</v>
      </c>
      <c r="F81">
        <v>0</v>
      </c>
      <c r="G81">
        <v>1</v>
      </c>
      <c r="H81">
        <v>1</v>
      </c>
      <c r="I81">
        <v>0</v>
      </c>
      <c r="J81">
        <v>0</v>
      </c>
      <c r="K81">
        <v>1</v>
      </c>
      <c r="L81">
        <v>0</v>
      </c>
    </row>
    <row r="82" spans="1:12">
      <c r="A82" t="s">
        <v>128</v>
      </c>
      <c r="B82">
        <v>0</v>
      </c>
      <c r="C82">
        <v>0</v>
      </c>
      <c r="D82">
        <v>1</v>
      </c>
      <c r="E82">
        <v>0</v>
      </c>
      <c r="F82">
        <v>0</v>
      </c>
      <c r="G82">
        <v>0</v>
      </c>
      <c r="H82">
        <v>0</v>
      </c>
      <c r="I82">
        <v>0</v>
      </c>
      <c r="J82">
        <v>0</v>
      </c>
      <c r="K82">
        <v>0</v>
      </c>
      <c r="L82">
        <v>1</v>
      </c>
    </row>
    <row r="83" spans="1:12">
      <c r="A83" t="s">
        <v>164</v>
      </c>
      <c r="B83">
        <v>0</v>
      </c>
      <c r="C83">
        <v>0</v>
      </c>
      <c r="D83">
        <v>0</v>
      </c>
      <c r="E83">
        <v>0</v>
      </c>
      <c r="F83">
        <v>0</v>
      </c>
      <c r="G83">
        <v>0</v>
      </c>
      <c r="H83">
        <v>0</v>
      </c>
      <c r="I83">
        <v>0</v>
      </c>
      <c r="J83">
        <v>0</v>
      </c>
      <c r="K83">
        <v>1</v>
      </c>
      <c r="L83">
        <v>0</v>
      </c>
    </row>
    <row r="84" spans="1:12">
      <c r="A84" t="s">
        <v>168</v>
      </c>
      <c r="B84">
        <v>0</v>
      </c>
      <c r="C84">
        <v>0</v>
      </c>
      <c r="D84">
        <v>1</v>
      </c>
      <c r="E84">
        <v>0</v>
      </c>
      <c r="F84">
        <v>0</v>
      </c>
      <c r="G84">
        <v>0</v>
      </c>
      <c r="H84">
        <v>0</v>
      </c>
      <c r="I84">
        <v>0</v>
      </c>
      <c r="J84">
        <v>0</v>
      </c>
      <c r="K84">
        <v>0</v>
      </c>
      <c r="L84">
        <v>0</v>
      </c>
    </row>
    <row r="85" spans="1:12">
      <c r="A85" t="s">
        <v>216</v>
      </c>
      <c r="B85">
        <v>0</v>
      </c>
      <c r="C85">
        <v>0</v>
      </c>
      <c r="D85">
        <v>1</v>
      </c>
      <c r="E85">
        <v>0</v>
      </c>
      <c r="F85">
        <v>0</v>
      </c>
      <c r="G85">
        <v>0</v>
      </c>
      <c r="H85">
        <v>0</v>
      </c>
      <c r="I85">
        <v>0</v>
      </c>
      <c r="J85">
        <v>0</v>
      </c>
      <c r="K85">
        <v>0</v>
      </c>
      <c r="L85">
        <v>0</v>
      </c>
    </row>
    <row r="86" spans="1:12">
      <c r="A86" t="s">
        <v>145</v>
      </c>
      <c r="B86">
        <v>1</v>
      </c>
      <c r="C86">
        <v>0</v>
      </c>
      <c r="D86">
        <v>0</v>
      </c>
      <c r="E86">
        <v>0</v>
      </c>
      <c r="F86">
        <v>0</v>
      </c>
      <c r="G86">
        <v>0</v>
      </c>
      <c r="H86">
        <v>0</v>
      </c>
      <c r="I86">
        <v>0</v>
      </c>
      <c r="J86">
        <v>0</v>
      </c>
      <c r="K86">
        <v>0</v>
      </c>
      <c r="L86">
        <v>0</v>
      </c>
    </row>
    <row r="87" spans="1:12">
      <c r="A87" t="s">
        <v>223</v>
      </c>
      <c r="B87">
        <v>0</v>
      </c>
      <c r="C87">
        <v>0</v>
      </c>
      <c r="D87">
        <v>1</v>
      </c>
      <c r="E87">
        <v>0</v>
      </c>
      <c r="F87">
        <v>0</v>
      </c>
      <c r="G87">
        <v>0</v>
      </c>
      <c r="H87">
        <v>0</v>
      </c>
      <c r="I87">
        <v>0</v>
      </c>
      <c r="J87">
        <v>0</v>
      </c>
      <c r="K87">
        <v>0</v>
      </c>
      <c r="L87">
        <v>0</v>
      </c>
    </row>
    <row r="88" spans="1:12">
      <c r="A88" t="s">
        <v>198</v>
      </c>
      <c r="B88">
        <v>0</v>
      </c>
      <c r="C88">
        <v>0</v>
      </c>
      <c r="D88">
        <v>0</v>
      </c>
      <c r="E88">
        <v>0</v>
      </c>
      <c r="F88">
        <v>0</v>
      </c>
      <c r="G88">
        <v>0</v>
      </c>
      <c r="H88">
        <v>0</v>
      </c>
      <c r="I88">
        <v>0</v>
      </c>
      <c r="J88">
        <v>0</v>
      </c>
      <c r="K88">
        <v>0</v>
      </c>
      <c r="L88">
        <v>1</v>
      </c>
    </row>
    <row r="89" spans="1:12">
      <c r="A89" t="s">
        <v>243</v>
      </c>
      <c r="B89">
        <v>0</v>
      </c>
      <c r="C89">
        <v>0</v>
      </c>
      <c r="D89">
        <v>1</v>
      </c>
      <c r="E89">
        <v>0</v>
      </c>
      <c r="F89">
        <v>0</v>
      </c>
      <c r="G89">
        <v>0</v>
      </c>
      <c r="H89">
        <v>0</v>
      </c>
      <c r="I89">
        <v>0</v>
      </c>
      <c r="J89">
        <v>0</v>
      </c>
      <c r="K89">
        <v>0</v>
      </c>
      <c r="L89">
        <v>0</v>
      </c>
    </row>
    <row r="90" spans="1:12">
      <c r="A90" t="s">
        <v>132</v>
      </c>
      <c r="B90">
        <v>0</v>
      </c>
      <c r="C90">
        <v>0</v>
      </c>
      <c r="D90">
        <v>1</v>
      </c>
      <c r="E90">
        <v>0</v>
      </c>
      <c r="F90">
        <v>0</v>
      </c>
      <c r="G90">
        <v>0</v>
      </c>
      <c r="H90">
        <v>0</v>
      </c>
      <c r="I90">
        <v>0</v>
      </c>
      <c r="J90">
        <v>0</v>
      </c>
      <c r="K90">
        <v>0</v>
      </c>
      <c r="L90">
        <v>0</v>
      </c>
    </row>
    <row r="91" spans="1:12">
      <c r="A91" t="s">
        <v>201</v>
      </c>
      <c r="B91">
        <v>0</v>
      </c>
      <c r="C91">
        <v>0</v>
      </c>
      <c r="D91">
        <v>1</v>
      </c>
      <c r="E91">
        <v>0</v>
      </c>
      <c r="F91">
        <v>0</v>
      </c>
      <c r="G91">
        <v>0</v>
      </c>
      <c r="H91">
        <v>0</v>
      </c>
      <c r="I91">
        <v>0</v>
      </c>
      <c r="J91">
        <v>0</v>
      </c>
      <c r="K91">
        <v>0</v>
      </c>
      <c r="L91">
        <v>0</v>
      </c>
    </row>
    <row r="92" spans="1:12">
      <c r="A92" t="s">
        <v>134</v>
      </c>
      <c r="B92">
        <v>0</v>
      </c>
      <c r="C92">
        <v>0</v>
      </c>
      <c r="D92">
        <v>0</v>
      </c>
      <c r="E92">
        <v>0</v>
      </c>
      <c r="F92">
        <v>1</v>
      </c>
      <c r="G92">
        <v>0</v>
      </c>
      <c r="H92">
        <v>0</v>
      </c>
      <c r="I92">
        <v>0</v>
      </c>
      <c r="J92">
        <v>0</v>
      </c>
      <c r="K92">
        <v>0</v>
      </c>
      <c r="L92">
        <v>1</v>
      </c>
    </row>
    <row r="93" spans="1:12">
      <c r="A93" t="s">
        <v>266</v>
      </c>
      <c r="B93">
        <v>0</v>
      </c>
      <c r="C93">
        <v>0</v>
      </c>
      <c r="D93">
        <v>0</v>
      </c>
      <c r="E93">
        <v>0</v>
      </c>
      <c r="F93">
        <v>0</v>
      </c>
      <c r="G93">
        <v>0</v>
      </c>
      <c r="H93">
        <v>0</v>
      </c>
      <c r="I93">
        <v>0</v>
      </c>
      <c r="J93">
        <v>0</v>
      </c>
      <c r="K93">
        <v>0</v>
      </c>
      <c r="L93">
        <v>1</v>
      </c>
    </row>
    <row r="94" spans="1:12">
      <c r="A94" t="s">
        <v>147</v>
      </c>
      <c r="B94">
        <v>0</v>
      </c>
      <c r="C94">
        <v>0</v>
      </c>
      <c r="D94">
        <v>1</v>
      </c>
      <c r="E94">
        <v>0</v>
      </c>
      <c r="F94">
        <v>0</v>
      </c>
      <c r="G94">
        <v>0</v>
      </c>
      <c r="H94">
        <v>0</v>
      </c>
      <c r="I94">
        <v>0</v>
      </c>
      <c r="J94">
        <v>1</v>
      </c>
      <c r="K94">
        <v>0</v>
      </c>
      <c r="L94">
        <v>1</v>
      </c>
    </row>
    <row r="95" spans="1:12">
      <c r="A95" t="s">
        <v>139</v>
      </c>
      <c r="B95">
        <v>0</v>
      </c>
      <c r="C95">
        <v>0</v>
      </c>
      <c r="D95">
        <v>1</v>
      </c>
      <c r="E95">
        <v>0</v>
      </c>
      <c r="F95">
        <v>0</v>
      </c>
      <c r="G95">
        <v>0</v>
      </c>
      <c r="H95">
        <v>0</v>
      </c>
      <c r="I95">
        <v>0</v>
      </c>
      <c r="J95">
        <v>0</v>
      </c>
      <c r="K95">
        <v>0</v>
      </c>
      <c r="L95">
        <v>1</v>
      </c>
    </row>
    <row r="96" spans="1:12">
      <c r="A96" t="s">
        <v>184</v>
      </c>
      <c r="B96">
        <v>0</v>
      </c>
      <c r="C96">
        <v>0</v>
      </c>
      <c r="D96">
        <v>0</v>
      </c>
      <c r="E96">
        <v>0</v>
      </c>
      <c r="F96">
        <v>0</v>
      </c>
      <c r="G96">
        <v>0</v>
      </c>
      <c r="H96">
        <v>0</v>
      </c>
      <c r="I96">
        <v>0</v>
      </c>
      <c r="J96">
        <v>0</v>
      </c>
      <c r="K96">
        <v>0</v>
      </c>
      <c r="L96">
        <v>1</v>
      </c>
    </row>
    <row r="97" spans="1:12">
      <c r="A97" t="s">
        <v>214</v>
      </c>
      <c r="B97">
        <v>0</v>
      </c>
      <c r="C97">
        <v>0</v>
      </c>
      <c r="D97">
        <v>1</v>
      </c>
      <c r="E97">
        <v>0</v>
      </c>
      <c r="F97">
        <v>0</v>
      </c>
      <c r="G97">
        <v>0</v>
      </c>
      <c r="H97">
        <v>0</v>
      </c>
      <c r="I97">
        <v>0</v>
      </c>
      <c r="J97">
        <v>0</v>
      </c>
      <c r="K97">
        <v>0</v>
      </c>
      <c r="L97">
        <v>0</v>
      </c>
    </row>
    <row r="100" spans="1:12">
      <c r="A100" t="s">
        <v>278</v>
      </c>
    </row>
    <row r="101" spans="1:12">
      <c r="B101" t="s">
        <v>34</v>
      </c>
      <c r="C101" t="s">
        <v>25</v>
      </c>
      <c r="D101" t="s">
        <v>279</v>
      </c>
    </row>
    <row r="102" spans="1:12">
      <c r="A102" t="s">
        <v>277</v>
      </c>
      <c r="B102">
        <v>15</v>
      </c>
      <c r="C102">
        <v>18</v>
      </c>
      <c r="D102">
        <v>3</v>
      </c>
    </row>
    <row r="103" spans="1:12">
      <c r="A103" t="s">
        <v>23</v>
      </c>
      <c r="B103">
        <v>0</v>
      </c>
      <c r="C103">
        <v>8</v>
      </c>
      <c r="D103">
        <v>1</v>
      </c>
    </row>
    <row r="104" spans="1:12">
      <c r="A104" t="s">
        <v>38</v>
      </c>
      <c r="B104">
        <v>7</v>
      </c>
      <c r="C104">
        <v>29</v>
      </c>
      <c r="D104">
        <v>24</v>
      </c>
    </row>
    <row r="105" spans="1:12">
      <c r="A105" t="s">
        <v>53</v>
      </c>
      <c r="B105">
        <v>4</v>
      </c>
      <c r="C105">
        <v>7</v>
      </c>
      <c r="D105">
        <v>12</v>
      </c>
    </row>
    <row r="106" spans="1:12">
      <c r="A106" t="s">
        <v>29</v>
      </c>
      <c r="B106">
        <v>2</v>
      </c>
      <c r="C106">
        <v>8</v>
      </c>
      <c r="D106">
        <v>7</v>
      </c>
    </row>
  </sheetData>
  <pageMargins left="0.75" right="0.75" top="1" bottom="1" header="0.5" footer="0.5"/>
  <headerFooter>
    <oddFooter>&amp;R_x000D_&amp;1#&amp;"Aptos"&amp;8&amp;K000000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2"/>
  <sheetViews>
    <sheetView topLeftCell="A3" workbookViewId="0">
      <selection activeCell="N34" sqref="N34"/>
    </sheetView>
  </sheetViews>
  <sheetFormatPr baseColWidth="10" defaultColWidth="8.83203125" defaultRowHeight="16"/>
  <sheetData>
    <row r="1" spans="1:1">
      <c r="A1" t="s">
        <v>280</v>
      </c>
    </row>
    <row r="42" spans="1:1">
      <c r="A42" t="s">
        <v>281</v>
      </c>
    </row>
  </sheetData>
  <pageMargins left="0.75" right="0.75" top="1" bottom="1" header="0.5" footer="0.5"/>
  <headerFooter>
    <oddFooter>&amp;R_x000D_&amp;1#&amp;"Aptos"&amp;8&amp;K000000 Cisco Confidential</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42"/>
  <sheetViews>
    <sheetView topLeftCell="F1" zoomScale="150" zoomScaleNormal="150" workbookViewId="0">
      <selection activeCell="M3" sqref="M3"/>
    </sheetView>
  </sheetViews>
  <sheetFormatPr baseColWidth="10" defaultColWidth="11.5" defaultRowHeight="16"/>
  <cols>
    <col min="2" max="2" width="19" customWidth="1"/>
    <col min="3" max="3" width="14" customWidth="1"/>
    <col min="4" max="4" width="17.33203125" customWidth="1"/>
    <col min="5" max="5" width="21.5" customWidth="1"/>
    <col min="6" max="6" width="16.6640625" customWidth="1"/>
    <col min="7" max="7" width="27.6640625" customWidth="1"/>
    <col min="8" max="8" width="20.6640625" customWidth="1"/>
    <col min="11" max="11" width="22.5" bestFit="1" customWidth="1"/>
    <col min="12" max="12" width="17.1640625" customWidth="1"/>
  </cols>
  <sheetData>
    <row r="2" spans="2:13" ht="17" customHeight="1">
      <c r="B2" s="2" t="s">
        <v>282</v>
      </c>
      <c r="C2" s="2" t="s">
        <v>283</v>
      </c>
      <c r="D2" s="2" t="s">
        <v>284</v>
      </c>
      <c r="E2" s="2" t="s">
        <v>285</v>
      </c>
      <c r="F2" s="2" t="s">
        <v>286</v>
      </c>
      <c r="G2" s="2" t="s">
        <v>287</v>
      </c>
      <c r="H2" s="2" t="s">
        <v>288</v>
      </c>
      <c r="I2" s="2" t="s">
        <v>289</v>
      </c>
      <c r="K2" t="s">
        <v>290</v>
      </c>
      <c r="L2" t="s">
        <v>291</v>
      </c>
      <c r="M2" t="s">
        <v>292</v>
      </c>
    </row>
    <row r="3" spans="2:13">
      <c r="B3" t="s">
        <v>38</v>
      </c>
      <c r="C3" t="s">
        <v>33</v>
      </c>
      <c r="D3" t="s">
        <v>45</v>
      </c>
      <c r="E3" t="s">
        <v>135</v>
      </c>
      <c r="F3" t="s">
        <v>34</v>
      </c>
      <c r="G3" t="s">
        <v>47</v>
      </c>
      <c r="H3" t="s">
        <v>64</v>
      </c>
      <c r="I3" t="s">
        <v>52</v>
      </c>
      <c r="K3" t="str">
        <f>MainTable[[#Headers],[Customer Segment]]</f>
        <v>Customer Segment</v>
      </c>
      <c r="L3" t="str">
        <f>RefValues[[#This Row],[cust_segment]]</f>
        <v>GES-East</v>
      </c>
      <c r="M3" s="3">
        <v>7</v>
      </c>
    </row>
    <row r="4" spans="2:13">
      <c r="B4" t="s">
        <v>29</v>
      </c>
      <c r="C4" t="s">
        <v>24</v>
      </c>
      <c r="D4" t="s">
        <v>54</v>
      </c>
      <c r="E4" t="s">
        <v>46</v>
      </c>
      <c r="F4" t="s">
        <v>25</v>
      </c>
      <c r="G4" t="s">
        <v>56</v>
      </c>
      <c r="H4" t="s">
        <v>48</v>
      </c>
      <c r="I4" t="s">
        <v>59</v>
      </c>
      <c r="K4" t="str">
        <f>MainTable[[#Headers],[Customer Segment]]</f>
        <v>Customer Segment</v>
      </c>
      <c r="L4" t="str">
        <f>RefValues[[#This Row],[cust_segment]]</f>
        <v>GES-West</v>
      </c>
      <c r="M4" s="3">
        <v>2</v>
      </c>
    </row>
    <row r="5" spans="2:13">
      <c r="B5" t="s">
        <v>23</v>
      </c>
      <c r="C5" t="s">
        <v>62</v>
      </c>
      <c r="D5" t="s">
        <v>87</v>
      </c>
      <c r="E5" t="s">
        <v>79</v>
      </c>
      <c r="G5" t="s">
        <v>60</v>
      </c>
      <c r="H5" t="s">
        <v>102</v>
      </c>
      <c r="I5" t="s">
        <v>22</v>
      </c>
      <c r="K5" t="str">
        <f>MainTable[[#Headers],[Customer Segment]]</f>
        <v>Customer Segment</v>
      </c>
      <c r="L5" t="str">
        <f>RefValues[[#This Row],[cust_segment]]</f>
        <v>GES-Central</v>
      </c>
      <c r="M5" s="3">
        <v>2</v>
      </c>
    </row>
    <row r="6" spans="2:13">
      <c r="B6" t="s">
        <v>53</v>
      </c>
      <c r="C6" t="s">
        <v>83</v>
      </c>
      <c r="D6" t="s">
        <v>72</v>
      </c>
      <c r="E6" t="s">
        <v>55</v>
      </c>
      <c r="G6" t="s">
        <v>140</v>
      </c>
      <c r="H6" t="s">
        <v>61</v>
      </c>
      <c r="K6" t="str">
        <f>MainTable[[#Headers],[Customer Segment]]</f>
        <v>Customer Segment</v>
      </c>
      <c r="L6" t="str">
        <f>RefValues[[#This Row],[cust_segment]]</f>
        <v>GES-Premier</v>
      </c>
      <c r="M6" s="3">
        <v>3</v>
      </c>
    </row>
    <row r="7" spans="2:13">
      <c r="B7" t="s">
        <v>279</v>
      </c>
      <c r="C7" t="s">
        <v>105</v>
      </c>
      <c r="D7" t="s">
        <v>293</v>
      </c>
      <c r="G7" t="s">
        <v>294</v>
      </c>
      <c r="H7" t="s">
        <v>72</v>
      </c>
      <c r="K7" t="str">
        <f>MainTable[[#Headers],[Customer Segment]]</f>
        <v>Customer Segment</v>
      </c>
      <c r="L7" t="str">
        <f>RefValues[[#This Row],[cust_segment]]</f>
        <v>Other</v>
      </c>
      <c r="M7" s="3">
        <v>1</v>
      </c>
    </row>
    <row r="8" spans="2:13">
      <c r="C8" t="s">
        <v>149</v>
      </c>
      <c r="D8" t="s">
        <v>22</v>
      </c>
      <c r="H8" t="s">
        <v>279</v>
      </c>
      <c r="K8" t="str">
        <f>MainTable[[#Headers],[Technologies]]</f>
        <v>Technologies</v>
      </c>
      <c r="L8" t="str">
        <f t="shared" ref="L8:L16" si="0">C3</f>
        <v>SD-WAN</v>
      </c>
      <c r="M8" s="3">
        <v>10</v>
      </c>
    </row>
    <row r="9" spans="2:13">
      <c r="C9" t="s">
        <v>150</v>
      </c>
      <c r="D9" t="s">
        <v>279</v>
      </c>
      <c r="K9" t="str">
        <f>MainTable[[#Headers],[Technologies]]</f>
        <v>Technologies</v>
      </c>
      <c r="L9" t="str">
        <f t="shared" si="0"/>
        <v>Cat-C/SDA</v>
      </c>
      <c r="M9" s="3">
        <v>8</v>
      </c>
    </row>
    <row r="10" spans="2:13">
      <c r="C10" t="s">
        <v>88</v>
      </c>
      <c r="K10" t="str">
        <f>MainTable[[#Headers],[Technologies]]</f>
        <v>Technologies</v>
      </c>
      <c r="L10" t="str">
        <f t="shared" si="0"/>
        <v>ACI</v>
      </c>
      <c r="M10" s="3">
        <v>10</v>
      </c>
    </row>
    <row r="11" spans="2:13">
      <c r="C11" t="s">
        <v>122</v>
      </c>
      <c r="K11" t="str">
        <f>MainTable[[#Headers],[Technologies]]</f>
        <v>Technologies</v>
      </c>
      <c r="L11" t="str">
        <f t="shared" si="0"/>
        <v>NDFC</v>
      </c>
      <c r="M11" s="3">
        <v>10</v>
      </c>
    </row>
    <row r="12" spans="2:13">
      <c r="C12" t="s">
        <v>74</v>
      </c>
      <c r="K12" t="str">
        <f>MainTable[[#Headers],[Technologies]]</f>
        <v>Technologies</v>
      </c>
      <c r="L12" t="str">
        <f t="shared" si="0"/>
        <v>IOS-XE</v>
      </c>
      <c r="M12" s="3">
        <v>5</v>
      </c>
    </row>
    <row r="13" spans="2:13">
      <c r="C13" t="s">
        <v>295</v>
      </c>
      <c r="K13" t="str">
        <f>MainTable[[#Headers],[Technologies]]</f>
        <v>Technologies</v>
      </c>
      <c r="L13" t="str">
        <f t="shared" si="0"/>
        <v>IOS-XR</v>
      </c>
      <c r="M13" s="3">
        <v>2</v>
      </c>
    </row>
    <row r="14" spans="2:13">
      <c r="K14" t="str">
        <f>MainTable[[#Headers],[Technologies]]</f>
        <v>Technologies</v>
      </c>
      <c r="L14" t="str">
        <f t="shared" si="0"/>
        <v>NX-OS</v>
      </c>
      <c r="M14" s="3">
        <v>3</v>
      </c>
    </row>
    <row r="15" spans="2:13">
      <c r="K15" t="str">
        <f>MainTable[[#Headers],[Technologies]]</f>
        <v>Technologies</v>
      </c>
      <c r="L15" t="str">
        <f t="shared" si="0"/>
        <v>ISE</v>
      </c>
      <c r="M15" s="3">
        <v>5</v>
      </c>
    </row>
    <row r="16" spans="2:13">
      <c r="K16" t="str">
        <f>MainTable[[#Headers],[Technologies]]</f>
        <v>Technologies</v>
      </c>
      <c r="L16" t="str">
        <f t="shared" si="0"/>
        <v>FMC</v>
      </c>
      <c r="M16" s="3">
        <v>1</v>
      </c>
    </row>
    <row r="17" spans="11:13">
      <c r="K17" t="str">
        <f>MainTable[[#Headers],[Technologies]]</f>
        <v>Technologies</v>
      </c>
      <c r="L17" t="str">
        <f>C13</f>
        <v>Multiple</v>
      </c>
      <c r="M17" s="3">
        <v>8</v>
      </c>
    </row>
    <row r="18" spans="11:13">
      <c r="K18" t="str">
        <f>MainTable[[#Headers],[Technologies]]</f>
        <v>Technologies</v>
      </c>
      <c r="L18" t="str">
        <f>C12</f>
        <v>Meraki</v>
      </c>
      <c r="M18" s="3">
        <v>10</v>
      </c>
    </row>
    <row r="19" spans="11:13">
      <c r="K19" t="str">
        <f>MainTable[[#Headers],[Existing Services]]</f>
        <v>Existing Services</v>
      </c>
      <c r="L19" t="str">
        <f t="shared" ref="L19:L25" si="1">D3</f>
        <v>PDI</v>
      </c>
      <c r="M19" s="3">
        <v>5</v>
      </c>
    </row>
    <row r="20" spans="11:13">
      <c r="K20" t="str">
        <f>MainTable[[#Headers],[Existing Services]]</f>
        <v>Existing Services</v>
      </c>
      <c r="L20" t="str">
        <f t="shared" si="1"/>
        <v>BCS/LCS</v>
      </c>
      <c r="M20" s="3">
        <v>7</v>
      </c>
    </row>
    <row r="21" spans="11:13">
      <c r="K21" t="str">
        <f>MainTable[[#Headers],[Existing Services]]</f>
        <v>Existing Services</v>
      </c>
      <c r="L21" t="str">
        <f t="shared" si="1"/>
        <v>SME/SAS</v>
      </c>
      <c r="M21" s="3">
        <v>5</v>
      </c>
    </row>
    <row r="22" spans="11:13">
      <c r="K22" t="str">
        <f>MainTable[[#Headers],[Existing Services]]</f>
        <v>Existing Services</v>
      </c>
      <c r="L22" t="str">
        <f t="shared" si="1"/>
        <v>CMS</v>
      </c>
      <c r="M22" s="3">
        <v>9</v>
      </c>
    </row>
    <row r="23" spans="11:13">
      <c r="K23" t="str">
        <f>MainTable[[#Headers],[Existing Services]]</f>
        <v>Existing Services</v>
      </c>
      <c r="L23" t="str">
        <f t="shared" si="1"/>
        <v>Partner-Led</v>
      </c>
      <c r="M23" s="3">
        <v>2</v>
      </c>
    </row>
    <row r="24" spans="11:13">
      <c r="K24" t="str">
        <f>MainTable[[#Headers],[Existing Services]]</f>
        <v>Existing Services</v>
      </c>
      <c r="L24" t="str">
        <f t="shared" si="1"/>
        <v>None</v>
      </c>
      <c r="M24" s="3">
        <v>1</v>
      </c>
    </row>
    <row r="25" spans="11:13">
      <c r="K25" t="str">
        <f>MainTable[[#Headers],[Existing Services]]</f>
        <v>Existing Services</v>
      </c>
      <c r="L25" t="str">
        <f t="shared" si="1"/>
        <v>Other</v>
      </c>
      <c r="M25" s="3">
        <v>0</v>
      </c>
    </row>
    <row r="26" spans="11:13">
      <c r="K26" t="str">
        <f>MainTable[[#Headers],[Approximate Deal Size]]</f>
        <v>Approximate Deal Size</v>
      </c>
      <c r="L26" t="str">
        <f>E3</f>
        <v>&lt;$100,000</v>
      </c>
      <c r="M26" s="3">
        <v>2</v>
      </c>
    </row>
    <row r="27" spans="11:13">
      <c r="K27" t="str">
        <f>MainTable[[#Headers],[Approximate Deal Size]]</f>
        <v>Approximate Deal Size</v>
      </c>
      <c r="L27" t="str">
        <f>E4</f>
        <v>$100,000-$500,000</v>
      </c>
      <c r="M27" s="3">
        <v>5</v>
      </c>
    </row>
    <row r="28" spans="11:13">
      <c r="K28" t="str">
        <f>MainTable[[#Headers],[Approximate Deal Size]]</f>
        <v>Approximate Deal Size</v>
      </c>
      <c r="L28" t="str">
        <f>E5</f>
        <v>$500,000-$1M</v>
      </c>
      <c r="M28" s="3">
        <v>7</v>
      </c>
    </row>
    <row r="29" spans="11:13">
      <c r="K29" t="str">
        <f>MainTable[[#Headers],[Approximate Deal Size]]</f>
        <v>Approximate Deal Size</v>
      </c>
      <c r="L29" t="str">
        <f>E6</f>
        <v>&gt;$1M</v>
      </c>
      <c r="M29" s="3">
        <v>10</v>
      </c>
    </row>
    <row r="30" spans="11:13">
      <c r="K30" t="str">
        <f>MainTable[[#Headers],[Customer Network Access]]</f>
        <v>Customer Network Access</v>
      </c>
      <c r="L30" t="str">
        <f>F3</f>
        <v>Yes</v>
      </c>
      <c r="M30" s="3">
        <v>10</v>
      </c>
    </row>
    <row r="31" spans="11:13">
      <c r="K31" t="str">
        <f>MainTable[[#Headers],[Customer Network Access]]</f>
        <v>Customer Network Access</v>
      </c>
      <c r="L31" t="str">
        <f>F4</f>
        <v>No</v>
      </c>
      <c r="M31" s="3">
        <v>0</v>
      </c>
    </row>
    <row r="32" spans="11:13">
      <c r="K32" t="str">
        <f>MainTable[[#Headers],[Start Date]]</f>
        <v>Start Date</v>
      </c>
      <c r="L32" t="str">
        <f>G3</f>
        <v>1 Month</v>
      </c>
      <c r="M32" s="3">
        <v>2</v>
      </c>
    </row>
    <row r="33" spans="11:13">
      <c r="K33" t="str">
        <f>MainTable[[#Headers],[Start Date]]</f>
        <v>Start Date</v>
      </c>
      <c r="L33" t="str">
        <f>G4</f>
        <v>3 Months</v>
      </c>
      <c r="M33" s="3">
        <v>4</v>
      </c>
    </row>
    <row r="34" spans="11:13">
      <c r="K34" t="str">
        <f>MainTable[[#Headers],[Start Date]]</f>
        <v>Start Date</v>
      </c>
      <c r="L34" t="str">
        <f>G5</f>
        <v>6 Months</v>
      </c>
      <c r="M34" s="3">
        <v>6</v>
      </c>
    </row>
    <row r="35" spans="11:13">
      <c r="K35" t="str">
        <f>MainTable[[#Headers],[Start Date]]</f>
        <v>Start Date</v>
      </c>
      <c r="L35" t="str">
        <f>G6</f>
        <v>9 Months</v>
      </c>
      <c r="M35" s="3">
        <v>8</v>
      </c>
    </row>
    <row r="36" spans="11:13">
      <c r="K36" t="str">
        <f>MainTable[[#Headers],[Start Date]]</f>
        <v>Start Date</v>
      </c>
      <c r="L36" t="str">
        <f>G7</f>
        <v>1 Year</v>
      </c>
      <c r="M36" s="3">
        <v>10</v>
      </c>
    </row>
    <row r="37" spans="11:13">
      <c r="K37" t="str">
        <f>MainTable[[#Headers],[Implementation Team]]</f>
        <v>Implementation Team</v>
      </c>
      <c r="L37" t="str">
        <f t="shared" ref="L37:L42" si="2">H3</f>
        <v>Theater</v>
      </c>
      <c r="M37" s="3">
        <v>8</v>
      </c>
    </row>
    <row r="38" spans="11:13">
      <c r="K38" t="str">
        <f>MainTable[[#Headers],[Implementation Team]]</f>
        <v>Implementation Team</v>
      </c>
      <c r="L38" t="str">
        <f t="shared" si="2"/>
        <v>Migration</v>
      </c>
      <c r="M38" s="3">
        <v>4</v>
      </c>
    </row>
    <row r="39" spans="11:13">
      <c r="K39" t="str">
        <f>MainTable[[#Headers],[Implementation Team]]</f>
        <v>Implementation Team</v>
      </c>
      <c r="L39" t="str">
        <f t="shared" si="2"/>
        <v>Partner</v>
      </c>
      <c r="M39" s="3">
        <v>2</v>
      </c>
    </row>
    <row r="40" spans="11:13">
      <c r="K40" t="str">
        <f>MainTable[[#Headers],[Implementation Team]]</f>
        <v>Implementation Team</v>
      </c>
      <c r="L40" t="str">
        <f t="shared" si="2"/>
        <v>Customer</v>
      </c>
      <c r="M40" s="3">
        <v>1</v>
      </c>
    </row>
    <row r="41" spans="11:13">
      <c r="K41" t="str">
        <f>MainTable[[#Headers],[Implementation Team]]</f>
        <v>Implementation Team</v>
      </c>
      <c r="L41" t="str">
        <f t="shared" si="2"/>
        <v>CMS</v>
      </c>
      <c r="M41" s="3">
        <v>5</v>
      </c>
    </row>
    <row r="42" spans="11:13">
      <c r="K42" t="str">
        <f>MainTable[[#Headers],[Implementation Team]]</f>
        <v>Implementation Team</v>
      </c>
      <c r="L42" t="str">
        <f t="shared" si="2"/>
        <v>Other</v>
      </c>
      <c r="M42" s="3">
        <v>0</v>
      </c>
    </row>
  </sheetData>
  <sheetProtection sheet="1" objects="1" scenarios="1"/>
  <pageMargins left="0.7" right="0.7" top="0.75" bottom="0.75" header="0.3" footer="0.3"/>
  <headerFooter>
    <oddFooter>&amp;R_x000D_&amp;1#&amp;"Aptos"&amp;8&amp;K000000 Cisco Confidential</oddFooter>
  </headerFooter>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
  <sheetViews>
    <sheetView workbookViewId="0"/>
  </sheetViews>
  <sheetFormatPr baseColWidth="10" defaultColWidth="8.83203125" defaultRowHeight="16"/>
  <sheetData>
    <row r="1" spans="1:4">
      <c r="A1" t="s">
        <v>296</v>
      </c>
    </row>
    <row r="3" spans="1:4">
      <c r="A3" t="s">
        <v>297</v>
      </c>
    </row>
    <row r="4" spans="1:4">
      <c r="A4" t="s">
        <v>298</v>
      </c>
      <c r="B4" t="s">
        <v>299</v>
      </c>
    </row>
    <row r="5" spans="1:4">
      <c r="A5" t="s">
        <v>34</v>
      </c>
      <c r="B5">
        <v>28</v>
      </c>
    </row>
    <row r="6" spans="1:4">
      <c r="A6" t="s">
        <v>25</v>
      </c>
      <c r="B6">
        <v>70</v>
      </c>
    </row>
    <row r="7" spans="1:4">
      <c r="A7" t="s">
        <v>279</v>
      </c>
      <c r="B7">
        <v>47</v>
      </c>
    </row>
    <row r="10" spans="1:4">
      <c r="A10" t="s">
        <v>300</v>
      </c>
    </row>
    <row r="11" spans="1:4">
      <c r="A11" t="s">
        <v>301</v>
      </c>
      <c r="B11" t="s">
        <v>34</v>
      </c>
      <c r="C11" t="s">
        <v>25</v>
      </c>
      <c r="D11" t="s">
        <v>279</v>
      </c>
    </row>
    <row r="12" spans="1:4">
      <c r="A12" t="s">
        <v>33</v>
      </c>
      <c r="B12">
        <v>20</v>
      </c>
      <c r="C12">
        <v>31</v>
      </c>
      <c r="D12">
        <v>0</v>
      </c>
    </row>
    <row r="13" spans="1:4">
      <c r="A13" t="s">
        <v>24</v>
      </c>
      <c r="B13">
        <v>8</v>
      </c>
      <c r="C13">
        <v>39</v>
      </c>
      <c r="D13">
        <v>0</v>
      </c>
    </row>
    <row r="14" spans="1:4">
      <c r="A14" t="s">
        <v>62</v>
      </c>
      <c r="B14">
        <v>0</v>
      </c>
      <c r="C14">
        <v>0</v>
      </c>
      <c r="D14">
        <v>10</v>
      </c>
    </row>
    <row r="15" spans="1:4">
      <c r="A15" t="s">
        <v>88</v>
      </c>
      <c r="B15">
        <v>0</v>
      </c>
      <c r="C15">
        <v>0</v>
      </c>
      <c r="D15">
        <v>9</v>
      </c>
    </row>
    <row r="16" spans="1:4">
      <c r="A16" t="s">
        <v>83</v>
      </c>
      <c r="B16">
        <v>0</v>
      </c>
      <c r="C16">
        <v>0</v>
      </c>
      <c r="D16">
        <v>7</v>
      </c>
    </row>
    <row r="17" spans="1:4">
      <c r="A17" t="s">
        <v>302</v>
      </c>
      <c r="B17">
        <v>0</v>
      </c>
      <c r="C17">
        <v>0</v>
      </c>
      <c r="D17">
        <v>6</v>
      </c>
    </row>
    <row r="18" spans="1:4">
      <c r="A18" t="s">
        <v>74</v>
      </c>
      <c r="B18">
        <v>0</v>
      </c>
      <c r="C18">
        <v>0</v>
      </c>
      <c r="D18">
        <v>5</v>
      </c>
    </row>
    <row r="19" spans="1:4">
      <c r="A19" t="s">
        <v>105</v>
      </c>
      <c r="B19">
        <v>0</v>
      </c>
      <c r="C19">
        <v>0</v>
      </c>
      <c r="D19">
        <v>3</v>
      </c>
    </row>
    <row r="20" spans="1:4">
      <c r="A20" t="s">
        <v>150</v>
      </c>
      <c r="B20">
        <v>0</v>
      </c>
      <c r="C20">
        <v>0</v>
      </c>
      <c r="D20">
        <v>3</v>
      </c>
    </row>
    <row r="21" spans="1:4">
      <c r="A21" t="s">
        <v>122</v>
      </c>
      <c r="B21">
        <v>0</v>
      </c>
      <c r="C21">
        <v>0</v>
      </c>
      <c r="D21">
        <v>2</v>
      </c>
    </row>
    <row r="22" spans="1:4">
      <c r="A22" t="s">
        <v>149</v>
      </c>
      <c r="B22">
        <v>0</v>
      </c>
      <c r="C22">
        <v>0</v>
      </c>
      <c r="D22">
        <v>2</v>
      </c>
    </row>
    <row r="25" spans="1:4">
      <c r="A25" t="s">
        <v>303</v>
      </c>
    </row>
    <row r="26" spans="1:4">
      <c r="A26" t="s">
        <v>301</v>
      </c>
      <c r="B26" t="s">
        <v>34</v>
      </c>
      <c r="C26" t="s">
        <v>25</v>
      </c>
      <c r="D26" t="s">
        <v>279</v>
      </c>
    </row>
    <row r="27" spans="1:4">
      <c r="A27" t="s">
        <v>38</v>
      </c>
      <c r="B27">
        <v>7</v>
      </c>
      <c r="C27">
        <v>29</v>
      </c>
      <c r="D27">
        <v>24</v>
      </c>
    </row>
    <row r="28" spans="1:4">
      <c r="A28" t="s">
        <v>302</v>
      </c>
      <c r="B28">
        <v>15</v>
      </c>
      <c r="C28">
        <v>18</v>
      </c>
      <c r="D28">
        <v>3</v>
      </c>
    </row>
    <row r="29" spans="1:4">
      <c r="A29" t="s">
        <v>53</v>
      </c>
      <c r="B29">
        <v>4</v>
      </c>
      <c r="C29">
        <v>7</v>
      </c>
      <c r="D29">
        <v>12</v>
      </c>
    </row>
    <row r="30" spans="1:4">
      <c r="A30" t="s">
        <v>29</v>
      </c>
      <c r="B30">
        <v>2</v>
      </c>
      <c r="C30">
        <v>8</v>
      </c>
      <c r="D30">
        <v>7</v>
      </c>
    </row>
    <row r="31" spans="1:4">
      <c r="A31" t="s">
        <v>23</v>
      </c>
      <c r="B31">
        <v>0</v>
      </c>
      <c r="C31">
        <v>8</v>
      </c>
      <c r="D31">
        <v>1</v>
      </c>
    </row>
  </sheetData>
  <pageMargins left="0.75" right="0.75" top="1" bottom="1" header="0.5" footer="0.5"/>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as-code score</vt:lpstr>
      <vt:lpstr>Pivot_Analytics</vt:lpstr>
      <vt:lpstr>Governance_Charts</vt:lpstr>
      <vt:lpstr>ref_values</vt:lpstr>
      <vt:lpstr>Governance_Data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Dhrumil Prajapati (dhprajap)</dc:creator>
  <cp:lastModifiedBy>Mike Brown (michabr4)</cp:lastModifiedBy>
  <dcterms:created xsi:type="dcterms:W3CDTF">2025-11-10T15:13:45Z</dcterms:created>
  <dcterms:modified xsi:type="dcterms:W3CDTF">2026-04-20T16:44:57Z</dcterms:modified>
</cp:coreProperties>
</file>