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michabr4/Desktop/Digitized Delivery - GES/"/>
    </mc:Choice>
  </mc:AlternateContent>
  <xr:revisionPtr revIDLastSave="0" documentId="8_{EEA132E7-4BEE-F547-89CE-A5B950EC723F}" xr6:coauthVersionLast="47" xr6:coauthVersionMax="47" xr10:uidLastSave="{00000000-0000-0000-0000-000000000000}"/>
  <bookViews>
    <workbookView xWindow="38840" yWindow="620" windowWidth="37960" windowHeight="19960" xr2:uid="{406425D0-11AC-024F-9FFA-CF8512581899}"/>
  </bookViews>
  <sheets>
    <sheet name="as-code score" sheetId="1" r:id="rId1"/>
    <sheet name="ref_valu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7" i="2" l="1"/>
  <c r="K17" i="2"/>
  <c r="K3" i="2"/>
  <c r="J7" i="1" s="1" a="1"/>
  <c r="J7" i="1" s="1"/>
  <c r="K4" i="2"/>
  <c r="K5" i="2"/>
  <c r="K6" i="2"/>
  <c r="K7" i="2"/>
  <c r="K8" i="2"/>
  <c r="K9" i="2"/>
  <c r="K10" i="2"/>
  <c r="K11" i="2"/>
  <c r="K12" i="2"/>
  <c r="K13" i="2"/>
  <c r="K14" i="2"/>
  <c r="K15" i="2"/>
  <c r="K16" i="2"/>
  <c r="K18" i="2"/>
  <c r="K19" i="2"/>
  <c r="K20" i="2"/>
  <c r="K21" i="2"/>
  <c r="K22" i="2"/>
  <c r="K23" i="2"/>
  <c r="K24" i="2"/>
  <c r="K25" i="2"/>
  <c r="K26" i="2"/>
  <c r="K27" i="2"/>
  <c r="K28" i="2"/>
  <c r="K29" i="2"/>
  <c r="K30" i="2"/>
  <c r="K31" i="2"/>
  <c r="K32" i="2"/>
  <c r="K33" i="2"/>
  <c r="K34" i="2"/>
  <c r="K35" i="2"/>
  <c r="K36" i="2"/>
  <c r="K37" i="2"/>
  <c r="K38" i="2"/>
  <c r="K39" i="2"/>
  <c r="K40" i="2"/>
  <c r="K41" i="2"/>
  <c r="K42" i="2"/>
  <c r="L38" i="2"/>
  <c r="L39" i="2"/>
  <c r="L40" i="2"/>
  <c r="L41" i="2"/>
  <c r="L42" i="2"/>
  <c r="L37" i="2"/>
  <c r="L33" i="2"/>
  <c r="L34" i="2"/>
  <c r="L35" i="2"/>
  <c r="L36" i="2"/>
  <c r="L32" i="2"/>
  <c r="L31" i="2"/>
  <c r="L30" i="2"/>
  <c r="L27" i="2"/>
  <c r="L28" i="2"/>
  <c r="L29" i="2"/>
  <c r="L26" i="2"/>
  <c r="L20" i="2"/>
  <c r="L21" i="2"/>
  <c r="L22" i="2"/>
  <c r="L23" i="2"/>
  <c r="L24" i="2"/>
  <c r="L25" i="2"/>
  <c r="L19" i="2"/>
  <c r="L9" i="2"/>
  <c r="L10" i="2"/>
  <c r="L11" i="2"/>
  <c r="L12" i="2"/>
  <c r="L13" i="2"/>
  <c r="L14" i="2"/>
  <c r="L15" i="2"/>
  <c r="L16" i="2"/>
  <c r="L18" i="2"/>
  <c r="L8" i="2"/>
  <c r="L4" i="2"/>
  <c r="L5" i="2"/>
  <c r="L6" i="2"/>
  <c r="L7" i="2"/>
  <c r="L3" i="2"/>
  <c r="J8" i="1" l="1" a="1"/>
  <c r="J8" i="1" s="1"/>
  <c r="J6" i="1" a="1"/>
  <c r="J6" i="1" s="1"/>
  <c r="J5" i="1" a="1"/>
  <c r="J5" i="1" s="1"/>
  <c r="J4" i="1" a="1"/>
  <c r="J4" i="1" s="1"/>
  <c r="J3" i="1" a="1"/>
  <c r="J3" i="1" s="1"/>
  <c r="J9" i="1" a="1"/>
  <c r="J9" i="1" s="1"/>
  <c r="J2" i="1" a="1"/>
  <c r="J2" i="1" s="1"/>
  <c r="J1028" i="1" a="1"/>
  <c r="J1028" i="1" s="1"/>
  <c r="J1027" i="1" a="1"/>
  <c r="J1027" i="1" s="1"/>
  <c r="J1026" i="1" a="1"/>
  <c r="J1026" i="1" s="1"/>
  <c r="J1023" i="1" a="1"/>
  <c r="J1023" i="1" s="1"/>
  <c r="J1021" i="1" a="1"/>
  <c r="J1021" i="1" s="1"/>
  <c r="J1020" i="1" a="1"/>
  <c r="J1020" i="1" s="1"/>
  <c r="J1022" i="1" a="1"/>
  <c r="J1022" i="1" s="1"/>
  <c r="J1025" i="1" a="1"/>
  <c r="J1025" i="1" s="1"/>
  <c r="J1024" i="1" a="1"/>
  <c r="J1024" i="1" s="1"/>
  <c r="J57" i="1" a="1"/>
  <c r="J57" i="1" s="1"/>
  <c r="J58" i="1" a="1"/>
  <c r="J58" i="1" s="1"/>
  <c r="J1019" i="1" a="1"/>
  <c r="J1019" i="1" s="1"/>
  <c r="J28" i="1" a="1"/>
  <c r="J28" i="1" s="1"/>
  <c r="J56" i="1" a="1"/>
  <c r="J56" i="1" s="1"/>
  <c r="J55" i="1" a="1"/>
  <c r="J55" i="1" s="1"/>
  <c r="J49" i="1" a="1"/>
  <c r="J49" i="1" s="1"/>
  <c r="J52" i="1" a="1"/>
  <c r="J52" i="1" s="1"/>
  <c r="J50" i="1" a="1"/>
  <c r="J50" i="1" s="1"/>
  <c r="J48" i="1" a="1"/>
  <c r="J48" i="1" s="1"/>
  <c r="J12" i="1" a="1"/>
  <c r="J12" i="1" s="1"/>
  <c r="J51" i="1" a="1"/>
  <c r="J51" i="1" s="1"/>
  <c r="J69" i="1" a="1"/>
  <c r="J69" i="1" s="1"/>
  <c r="J13" i="1" a="1"/>
  <c r="J13" i="1" s="1"/>
  <c r="J33" i="1" a="1"/>
  <c r="J33" i="1" s="1"/>
  <c r="J32" i="1" a="1"/>
  <c r="J32" i="1" s="1"/>
  <c r="J335" i="1" a="1"/>
  <c r="J335" i="1" s="1"/>
  <c r="J976" i="1" a="1"/>
  <c r="J976" i="1" s="1"/>
  <c r="J302" i="1" a="1"/>
  <c r="J302" i="1" s="1"/>
  <c r="J53" i="1" a="1"/>
  <c r="J53" i="1" s="1"/>
  <c r="J1001" i="1" a="1"/>
  <c r="J1001" i="1" s="1"/>
  <c r="J386" i="1" a="1"/>
  <c r="J386" i="1" s="1"/>
  <c r="J1016" i="1" a="1"/>
  <c r="J1016" i="1" s="1"/>
  <c r="J980" i="1" a="1"/>
  <c r="J980" i="1" s="1"/>
  <c r="J956" i="1" a="1"/>
  <c r="J956" i="1" s="1"/>
  <c r="J925" i="1" a="1"/>
  <c r="J925" i="1" s="1"/>
  <c r="J895" i="1" a="1"/>
  <c r="J895" i="1" s="1"/>
  <c r="J877" i="1" a="1"/>
  <c r="J877" i="1" s="1"/>
  <c r="J809" i="1" a="1"/>
  <c r="J809" i="1" s="1"/>
  <c r="J703" i="1" a="1"/>
  <c r="J703" i="1" s="1"/>
  <c r="J571" i="1" a="1"/>
  <c r="J571" i="1" s="1"/>
  <c r="J499" i="1" a="1"/>
  <c r="J499" i="1" s="1"/>
  <c r="J424" i="1" a="1"/>
  <c r="J424" i="1" s="1"/>
  <c r="J348" i="1" a="1"/>
  <c r="J348" i="1" s="1"/>
  <c r="J269" i="1" a="1"/>
  <c r="J269" i="1" s="1"/>
  <c r="J130" i="1" a="1"/>
  <c r="J130" i="1" s="1"/>
  <c r="J1015" i="1" a="1"/>
  <c r="J1015" i="1" s="1"/>
  <c r="J1007" i="1" a="1"/>
  <c r="J1007" i="1" s="1"/>
  <c r="J964" i="1" a="1"/>
  <c r="J964" i="1" s="1"/>
  <c r="J948" i="1" a="1"/>
  <c r="J948" i="1" s="1"/>
  <c r="J912" i="1" a="1"/>
  <c r="J912" i="1" s="1"/>
  <c r="J857" i="1" a="1"/>
  <c r="J857" i="1" s="1"/>
  <c r="J732" i="1" a="1"/>
  <c r="J732" i="1" s="1"/>
  <c r="J609" i="1" a="1"/>
  <c r="J609" i="1" s="1"/>
  <c r="J536" i="1" a="1"/>
  <c r="J536" i="1" s="1"/>
  <c r="J463" i="1" a="1"/>
  <c r="J463" i="1" s="1"/>
  <c r="J388" i="1" a="1"/>
  <c r="J388" i="1" s="1"/>
  <c r="J308" i="1" a="1"/>
  <c r="J308" i="1" s="1"/>
  <c r="J1006" i="1" a="1"/>
  <c r="J1006" i="1" s="1"/>
  <c r="J997" i="1" a="1"/>
  <c r="J997" i="1" s="1"/>
  <c r="J989" i="1" a="1"/>
  <c r="J989" i="1" s="1"/>
  <c r="J972" i="1" a="1"/>
  <c r="J972" i="1" s="1"/>
  <c r="J963" i="1" a="1"/>
  <c r="J963" i="1" s="1"/>
  <c r="J938" i="1" a="1"/>
  <c r="J938" i="1" s="1"/>
  <c r="J922" i="1" a="1"/>
  <c r="J922" i="1" s="1"/>
  <c r="J808" i="1" a="1"/>
  <c r="J808" i="1" s="1"/>
  <c r="J731" i="1" a="1"/>
  <c r="J731" i="1" s="1"/>
  <c r="J702" i="1" a="1"/>
  <c r="J702" i="1" s="1"/>
  <c r="J607" i="1" a="1"/>
  <c r="J607" i="1" s="1"/>
  <c r="J570" i="1" a="1"/>
  <c r="J570" i="1" s="1"/>
  <c r="J534" i="1" a="1"/>
  <c r="J534" i="1" s="1"/>
  <c r="J497" i="1" a="1"/>
  <c r="J497" i="1" s="1"/>
  <c r="J462" i="1" a="1"/>
  <c r="J462" i="1" s="1"/>
  <c r="J387" i="1" a="1"/>
  <c r="J387" i="1" s="1"/>
  <c r="J346" i="1" a="1"/>
  <c r="J346" i="1" s="1"/>
  <c r="J307" i="1" a="1"/>
  <c r="J307" i="1" s="1"/>
  <c r="J267" i="1" a="1"/>
  <c r="J267" i="1" s="1"/>
  <c r="J214" i="1" a="1"/>
  <c r="J214" i="1" s="1"/>
  <c r="J124" i="1" a="1"/>
  <c r="J124" i="1" s="1"/>
  <c r="J345" i="1" a="1"/>
  <c r="J345" i="1" s="1"/>
  <c r="J306" i="1" a="1"/>
  <c r="J306" i="1" s="1"/>
  <c r="J209" i="1" a="1"/>
  <c r="J209" i="1" s="1"/>
  <c r="J121" i="1" a="1"/>
  <c r="J121" i="1" s="1"/>
  <c r="J936" i="1" a="1"/>
  <c r="J936" i="1" s="1"/>
  <c r="J208" i="1" a="1"/>
  <c r="J208" i="1" s="1"/>
  <c r="J120" i="1" a="1"/>
  <c r="J120" i="1" s="1"/>
  <c r="J96" i="1" a="1"/>
  <c r="J96" i="1" s="1"/>
  <c r="J1005" i="1" a="1"/>
  <c r="J1005" i="1" s="1"/>
  <c r="J937" i="1" a="1"/>
  <c r="J937" i="1" s="1"/>
  <c r="J759" i="1" a="1"/>
  <c r="J759" i="1" s="1"/>
  <c r="J606" i="1" a="1"/>
  <c r="J606" i="1" s="1"/>
  <c r="J1004" i="1" a="1"/>
  <c r="J1004" i="1" s="1"/>
  <c r="J872" i="1" a="1"/>
  <c r="J872" i="1" s="1"/>
  <c r="J701" i="1" a="1"/>
  <c r="J701" i="1" s="1"/>
  <c r="J344" i="1" a="1"/>
  <c r="J344" i="1" s="1"/>
  <c r="J986" i="1" a="1"/>
  <c r="J986" i="1" s="1"/>
  <c r="J871" i="1" a="1"/>
  <c r="J871" i="1" s="1"/>
  <c r="J723" i="1" a="1"/>
  <c r="J723" i="1" s="1"/>
  <c r="J524" i="1" a="1"/>
  <c r="J524" i="1" s="1"/>
  <c r="J255" i="1" a="1"/>
  <c r="J255" i="1" s="1"/>
  <c r="J1012" i="1" a="1"/>
  <c r="J1012" i="1" s="1"/>
  <c r="J993" i="1" a="1"/>
  <c r="J993" i="1" s="1"/>
  <c r="J969" i="1" a="1"/>
  <c r="J969" i="1" s="1"/>
  <c r="J961" i="1" a="1"/>
  <c r="J961" i="1" s="1"/>
  <c r="J952" i="1" a="1"/>
  <c r="J952" i="1" s="1"/>
  <c r="J944" i="1" a="1"/>
  <c r="J944" i="1" s="1"/>
  <c r="J933" i="1" a="1"/>
  <c r="J933" i="1" s="1"/>
  <c r="J920" i="1" a="1"/>
  <c r="J920" i="1" s="1"/>
  <c r="J869" i="1" a="1"/>
  <c r="J869" i="1" s="1"/>
  <c r="J824" i="1" a="1"/>
  <c r="J824" i="1" s="1"/>
  <c r="J800" i="1" a="1"/>
  <c r="J800" i="1" s="1"/>
  <c r="J776" i="1" a="1"/>
  <c r="J776" i="1" s="1"/>
  <c r="J749" i="1" a="1"/>
  <c r="J749" i="1" s="1"/>
  <c r="J692" i="1" a="1"/>
  <c r="J692" i="1" s="1"/>
  <c r="J662" i="1" a="1"/>
  <c r="J662" i="1" s="1"/>
  <c r="J594" i="1" a="1"/>
  <c r="J594" i="1" s="1"/>
  <c r="J559" i="1" a="1"/>
  <c r="J559" i="1" s="1"/>
  <c r="J523" i="1" a="1"/>
  <c r="J523" i="1" s="1"/>
  <c r="J410" i="1" a="1"/>
  <c r="J410" i="1" s="1"/>
  <c r="J372" i="1" a="1"/>
  <c r="J372" i="1" s="1"/>
  <c r="J292" i="1" a="1"/>
  <c r="J292" i="1" s="1"/>
  <c r="J254" i="1" a="1"/>
  <c r="J254" i="1" s="1"/>
  <c r="J183" i="1" a="1"/>
  <c r="J183" i="1" s="1"/>
  <c r="J91" i="1" a="1"/>
  <c r="J91" i="1" s="1"/>
  <c r="J955" i="1" a="1"/>
  <c r="J955" i="1" s="1"/>
  <c r="J873" i="1" a="1"/>
  <c r="J873" i="1" s="1"/>
  <c r="J784" i="1" a="1"/>
  <c r="J784" i="1" s="1"/>
  <c r="J461" i="1" a="1"/>
  <c r="J461" i="1" s="1"/>
  <c r="J995" i="1" a="1"/>
  <c r="J995" i="1" s="1"/>
  <c r="J921" i="1" a="1"/>
  <c r="J921" i="1" s="1"/>
  <c r="J728" i="1" a="1"/>
  <c r="J728" i="1" s="1"/>
  <c r="J457" i="1" a="1"/>
  <c r="J457" i="1" s="1"/>
  <c r="J1003" i="1" a="1"/>
  <c r="J1003" i="1" s="1"/>
  <c r="J905" i="1" a="1"/>
  <c r="J905" i="1" s="1"/>
  <c r="J802" i="1" a="1"/>
  <c r="J802" i="1" s="1"/>
  <c r="J632" i="1" a="1"/>
  <c r="J632" i="1" s="1"/>
  <c r="J294" i="1" a="1"/>
  <c r="J294" i="1" s="1"/>
  <c r="J189" i="1" a="1"/>
  <c r="J189" i="1" s="1"/>
  <c r="J1002" i="1" a="1"/>
  <c r="J1002" i="1" s="1"/>
  <c r="J1011" i="1" a="1"/>
  <c r="J1011" i="1" s="1"/>
  <c r="J985" i="1" a="1"/>
  <c r="J985" i="1" s="1"/>
  <c r="J977" i="1" a="1"/>
  <c r="J977" i="1" s="1"/>
  <c r="J904" i="1" a="1"/>
  <c r="J904" i="1" s="1"/>
  <c r="J888" i="1" a="1"/>
  <c r="J888" i="1" s="1"/>
  <c r="J848" i="1" a="1"/>
  <c r="J848" i="1" s="1"/>
  <c r="J823" i="1" a="1"/>
  <c r="J823" i="1" s="1"/>
  <c r="J799" i="1" a="1"/>
  <c r="J799" i="1" s="1"/>
  <c r="J775" i="1" a="1"/>
  <c r="J775" i="1" s="1"/>
  <c r="J720" i="1" a="1"/>
  <c r="J720" i="1" s="1"/>
  <c r="J691" i="1" a="1"/>
  <c r="J691" i="1" s="1"/>
  <c r="J661" i="1" a="1"/>
  <c r="J661" i="1" s="1"/>
  <c r="J630" i="1" a="1"/>
  <c r="J630" i="1" s="1"/>
  <c r="J593" i="1" a="1"/>
  <c r="J593" i="1" s="1"/>
  <c r="J522" i="1" a="1"/>
  <c r="J522" i="1" s="1"/>
  <c r="J486" i="1" a="1"/>
  <c r="J486" i="1" s="1"/>
  <c r="J447" i="1" a="1"/>
  <c r="J447" i="1" s="1"/>
  <c r="J371" i="1" a="1"/>
  <c r="J371" i="1" s="1"/>
  <c r="J333" i="1" a="1"/>
  <c r="J333" i="1" s="1"/>
  <c r="J86" i="1" a="1"/>
  <c r="J86" i="1" s="1"/>
  <c r="J979" i="1" a="1"/>
  <c r="J979" i="1" s="1"/>
  <c r="J906" i="1" a="1"/>
  <c r="J906" i="1" s="1"/>
  <c r="J832" i="1" a="1"/>
  <c r="J832" i="1" s="1"/>
  <c r="J640" i="1" a="1"/>
  <c r="J640" i="1" s="1"/>
  <c r="J1014" i="1" a="1"/>
  <c r="J1014" i="1" s="1"/>
  <c r="J890" i="1" a="1"/>
  <c r="J890" i="1" s="1"/>
  <c r="J670" i="1" a="1"/>
  <c r="J670" i="1" s="1"/>
  <c r="J381" i="1" a="1"/>
  <c r="J381" i="1" s="1"/>
  <c r="J978" i="1" a="1"/>
  <c r="J978" i="1" s="1"/>
  <c r="J826" i="1" a="1"/>
  <c r="J826" i="1" s="1"/>
  <c r="J663" i="1" a="1"/>
  <c r="J663" i="1" s="1"/>
  <c r="J412" i="1" a="1"/>
  <c r="J412" i="1" s="1"/>
  <c r="J1010" i="1" a="1"/>
  <c r="J1010" i="1" s="1"/>
  <c r="J968" i="1" a="1"/>
  <c r="J968" i="1" s="1"/>
  <c r="J959" i="1" a="1"/>
  <c r="J959" i="1" s="1"/>
  <c r="J951" i="1" a="1"/>
  <c r="J951" i="1" s="1"/>
  <c r="J943" i="1" a="1"/>
  <c r="J943" i="1" s="1"/>
  <c r="J930" i="1" a="1"/>
  <c r="J930" i="1" s="1"/>
  <c r="J917" i="1" a="1"/>
  <c r="J917" i="1" s="1"/>
  <c r="J902" i="1" a="1"/>
  <c r="J902" i="1" s="1"/>
  <c r="J885" i="1" a="1"/>
  <c r="J885" i="1" s="1"/>
  <c r="J865" i="1" a="1"/>
  <c r="J865" i="1" s="1"/>
  <c r="J847" i="1" a="1"/>
  <c r="J847" i="1" s="1"/>
  <c r="J822" i="1" a="1"/>
  <c r="J822" i="1" s="1"/>
  <c r="J748" i="1" a="1"/>
  <c r="J748" i="1" s="1"/>
  <c r="J719" i="1" a="1"/>
  <c r="J719" i="1" s="1"/>
  <c r="J689" i="1" a="1"/>
  <c r="J689" i="1" s="1"/>
  <c r="J556" i="1" a="1"/>
  <c r="J556" i="1" s="1"/>
  <c r="J521" i="1" a="1"/>
  <c r="J521" i="1" s="1"/>
  <c r="J482" i="1" a="1"/>
  <c r="J482" i="1" s="1"/>
  <c r="J406" i="1" a="1"/>
  <c r="J406" i="1" s="1"/>
  <c r="J370" i="1" a="1"/>
  <c r="J370" i="1" s="1"/>
  <c r="J328" i="1" a="1"/>
  <c r="J328" i="1" s="1"/>
  <c r="J291" i="1" a="1"/>
  <c r="J291" i="1" s="1"/>
  <c r="J250" i="1" a="1"/>
  <c r="J250" i="1" s="1"/>
  <c r="J180" i="1" a="1"/>
  <c r="J180" i="1" s="1"/>
  <c r="J85" i="1" a="1"/>
  <c r="J85" i="1" s="1"/>
  <c r="J987" i="1" a="1"/>
  <c r="J987" i="1" s="1"/>
  <c r="J856" i="1" a="1"/>
  <c r="J856" i="1" s="1"/>
  <c r="J671" i="1" a="1"/>
  <c r="J671" i="1" s="1"/>
  <c r="J496" i="1" a="1"/>
  <c r="J496" i="1" s="1"/>
  <c r="J971" i="1" a="1"/>
  <c r="J971" i="1" s="1"/>
  <c r="J853" i="1" a="1"/>
  <c r="J853" i="1" s="1"/>
  <c r="J639" i="1" a="1"/>
  <c r="J639" i="1" s="1"/>
  <c r="J421" i="1" a="1"/>
  <c r="J421" i="1" s="1"/>
  <c r="J994" i="1" a="1"/>
  <c r="J994" i="1" s="1"/>
  <c r="J889" i="1" a="1"/>
  <c r="J889" i="1" s="1"/>
  <c r="J693" i="1" a="1"/>
  <c r="J693" i="1" s="1"/>
  <c r="J374" i="1" a="1"/>
  <c r="J374" i="1" s="1"/>
  <c r="J992" i="1" a="1"/>
  <c r="J992" i="1" s="1"/>
  <c r="J1000" i="1" a="1"/>
  <c r="J1000" i="1" s="1"/>
  <c r="J984" i="1" a="1"/>
  <c r="J984" i="1" s="1"/>
  <c r="J975" i="1" a="1"/>
  <c r="J975" i="1" s="1"/>
  <c r="J958" i="1" a="1"/>
  <c r="J958" i="1" s="1"/>
  <c r="J942" i="1" a="1"/>
  <c r="J942" i="1" s="1"/>
  <c r="J899" i="1" a="1"/>
  <c r="J899" i="1" s="1"/>
  <c r="J882" i="1" a="1"/>
  <c r="J882" i="1" s="1"/>
  <c r="J864" i="1" a="1"/>
  <c r="J864" i="1" s="1"/>
  <c r="J843" i="1" a="1"/>
  <c r="J843" i="1" s="1"/>
  <c r="J818" i="1" a="1"/>
  <c r="J818" i="1" s="1"/>
  <c r="J794" i="1" a="1"/>
  <c r="J794" i="1" s="1"/>
  <c r="J770" i="1" a="1"/>
  <c r="J770" i="1" s="1"/>
  <c r="J742" i="1" a="1"/>
  <c r="J742" i="1" s="1"/>
  <c r="J713" i="1" a="1"/>
  <c r="J713" i="1" s="1"/>
  <c r="J653" i="1" a="1"/>
  <c r="J653" i="1" s="1"/>
  <c r="J585" i="1" a="1"/>
  <c r="J585" i="1" s="1"/>
  <c r="J513" i="1" a="1"/>
  <c r="J513" i="1" s="1"/>
  <c r="J474" i="1" a="1"/>
  <c r="J474" i="1" s="1"/>
  <c r="J438" i="1" a="1"/>
  <c r="J438" i="1" s="1"/>
  <c r="J398" i="1" a="1"/>
  <c r="J398" i="1" s="1"/>
  <c r="J284" i="1" a="1"/>
  <c r="J284" i="1" s="1"/>
  <c r="J240" i="1" a="1"/>
  <c r="J240" i="1" s="1"/>
  <c r="J996" i="1" a="1"/>
  <c r="J996" i="1" s="1"/>
  <c r="J10" i="1" a="1"/>
  <c r="J10" i="1" s="1"/>
  <c r="J36" i="1" a="1"/>
  <c r="J36" i="1" s="1"/>
  <c r="J11" i="1" a="1"/>
  <c r="J11" i="1" s="1"/>
  <c r="J18" i="1" a="1"/>
  <c r="J18" i="1" s="1"/>
  <c r="J76" i="1" a="1"/>
  <c r="J76" i="1" s="1"/>
  <c r="J88" i="1" a="1"/>
  <c r="J88" i="1" s="1"/>
  <c r="J99" i="1" a="1"/>
  <c r="J99" i="1" s="1"/>
  <c r="J111" i="1" a="1"/>
  <c r="J111" i="1" s="1"/>
  <c r="J122" i="1" a="1"/>
  <c r="J122" i="1" s="1"/>
  <c r="J142" i="1" a="1"/>
  <c r="J142" i="1" s="1"/>
  <c r="J152" i="1" a="1"/>
  <c r="J152" i="1" s="1"/>
  <c r="J161" i="1" a="1"/>
  <c r="J161" i="1" s="1"/>
  <c r="J171" i="1" a="1"/>
  <c r="J171" i="1" s="1"/>
  <c r="J192" i="1" a="1"/>
  <c r="J192" i="1" s="1"/>
  <c r="J202" i="1" a="1"/>
  <c r="J202" i="1" s="1"/>
  <c r="J211" i="1" a="1"/>
  <c r="J211" i="1" s="1"/>
  <c r="J221" i="1" a="1"/>
  <c r="J221" i="1" s="1"/>
  <c r="J252" i="1" a="1"/>
  <c r="J252" i="1" s="1"/>
  <c r="J261" i="1" a="1"/>
  <c r="J261" i="1" s="1"/>
  <c r="J271" i="1" a="1"/>
  <c r="J271" i="1" s="1"/>
  <c r="J280" i="1" a="1"/>
  <c r="J280" i="1" s="1"/>
  <c r="J288" i="1" a="1"/>
  <c r="J288" i="1" s="1"/>
  <c r="J303" i="1" a="1"/>
  <c r="J303" i="1" s="1"/>
  <c r="J330" i="1" a="1"/>
  <c r="J330" i="1" s="1"/>
  <c r="J340" i="1" a="1"/>
  <c r="J340" i="1" s="1"/>
  <c r="J349" i="1" a="1"/>
  <c r="J349" i="1" s="1"/>
  <c r="J366" i="1" a="1"/>
  <c r="J366" i="1" s="1"/>
  <c r="J375" i="1" a="1"/>
  <c r="J375" i="1" s="1"/>
  <c r="J383" i="1" a="1"/>
  <c r="J383" i="1" s="1"/>
  <c r="J392" i="1" a="1"/>
  <c r="J392" i="1" s="1"/>
  <c r="J400" i="1" a="1"/>
  <c r="J400" i="1" s="1"/>
  <c r="J408" i="1" a="1"/>
  <c r="J408" i="1" s="1"/>
  <c r="J426" i="1" a="1"/>
  <c r="J426" i="1" s="1"/>
  <c r="J434" i="1" a="1"/>
  <c r="J434" i="1" s="1"/>
  <c r="J442" i="1" a="1"/>
  <c r="J442" i="1" s="1"/>
  <c r="J450" i="1" a="1"/>
  <c r="J450" i="1" s="1"/>
  <c r="J459" i="1" a="1"/>
  <c r="J459" i="1" s="1"/>
  <c r="J467" i="1" a="1"/>
  <c r="J467" i="1" s="1"/>
  <c r="J483" i="1" a="1"/>
  <c r="J483" i="1" s="1"/>
  <c r="J491" i="1" a="1"/>
  <c r="J491" i="1" s="1"/>
  <c r="J508" i="1" a="1"/>
  <c r="J508" i="1" s="1"/>
  <c r="J517" i="1" a="1"/>
  <c r="J517" i="1" s="1"/>
  <c r="J525" i="1" a="1"/>
  <c r="J525" i="1" s="1"/>
  <c r="J532" i="1" a="1"/>
  <c r="J532" i="1" s="1"/>
  <c r="J548" i="1" a="1"/>
  <c r="J548" i="1" s="1"/>
  <c r="J557" i="1" a="1"/>
  <c r="J557" i="1" s="1"/>
  <c r="J564" i="1" a="1"/>
  <c r="J564" i="1" s="1"/>
  <c r="J573" i="1" a="1"/>
  <c r="J573" i="1" s="1"/>
  <c r="J580" i="1" a="1"/>
  <c r="J580" i="1" s="1"/>
  <c r="J589" i="1" a="1"/>
  <c r="J589" i="1" s="1"/>
  <c r="J597" i="1" a="1"/>
  <c r="J597" i="1" s="1"/>
  <c r="J613" i="1" a="1"/>
  <c r="J613" i="1" s="1"/>
  <c r="J620" i="1" a="1"/>
  <c r="J620" i="1" s="1"/>
  <c r="J643" i="1" a="1"/>
  <c r="J643" i="1" s="1"/>
  <c r="J651" i="1" a="1"/>
  <c r="J651" i="1" s="1"/>
  <c r="J659" i="1" a="1"/>
  <c r="J659" i="1" s="1"/>
  <c r="J682" i="1" a="1"/>
  <c r="J682" i="1" s="1"/>
  <c r="J698" i="1" a="1"/>
  <c r="J698" i="1" s="1"/>
  <c r="J705" i="1" a="1"/>
  <c r="J705" i="1" s="1"/>
  <c r="J66" i="1" a="1"/>
  <c r="J66" i="1" s="1"/>
  <c r="J44" i="1" a="1"/>
  <c r="J44" i="1" s="1"/>
  <c r="J47" i="1" a="1"/>
  <c r="J47" i="1" s="1"/>
  <c r="J41" i="1" a="1"/>
  <c r="J41" i="1" s="1"/>
  <c r="J77" i="1" a="1"/>
  <c r="J77" i="1" s="1"/>
  <c r="J89" i="1" a="1"/>
  <c r="J89" i="1" s="1"/>
  <c r="J100" i="1" a="1"/>
  <c r="J100" i="1" s="1"/>
  <c r="J112" i="1" a="1"/>
  <c r="J112" i="1" s="1"/>
  <c r="J133" i="1" a="1"/>
  <c r="J133" i="1" s="1"/>
  <c r="J143" i="1" a="1"/>
  <c r="J143" i="1" s="1"/>
  <c r="J153" i="1" a="1"/>
  <c r="J153" i="1" s="1"/>
  <c r="J162" i="1" a="1"/>
  <c r="J162" i="1" s="1"/>
  <c r="J172" i="1" a="1"/>
  <c r="J172" i="1" s="1"/>
  <c r="J182" i="1" a="1"/>
  <c r="J182" i="1" s="1"/>
  <c r="J193" i="1" a="1"/>
  <c r="J193" i="1" s="1"/>
  <c r="J203" i="1" a="1"/>
  <c r="J203" i="1" s="1"/>
  <c r="J212" i="1" a="1"/>
  <c r="J212" i="1" s="1"/>
  <c r="J222" i="1" a="1"/>
  <c r="J222" i="1" s="1"/>
  <c r="J231" i="1" a="1"/>
  <c r="J231" i="1" s="1"/>
  <c r="J242" i="1" a="1"/>
  <c r="J242" i="1" s="1"/>
  <c r="J262" i="1" a="1"/>
  <c r="J262" i="1" s="1"/>
  <c r="J272" i="1" a="1"/>
  <c r="J272" i="1" s="1"/>
  <c r="J281" i="1" a="1"/>
  <c r="J281" i="1" s="1"/>
  <c r="J296" i="1" a="1"/>
  <c r="J296" i="1" s="1"/>
  <c r="J304" i="1" a="1"/>
  <c r="J304" i="1" s="1"/>
  <c r="J313" i="1" a="1"/>
  <c r="J313" i="1" s="1"/>
  <c r="J321" i="1" a="1"/>
  <c r="J321" i="1" s="1"/>
  <c r="J331" i="1" a="1"/>
  <c r="J331" i="1" s="1"/>
  <c r="J341" i="1" a="1"/>
  <c r="J341" i="1" s="1"/>
  <c r="J358" i="1" a="1"/>
  <c r="J358" i="1" s="1"/>
  <c r="J376" i="1" a="1"/>
  <c r="J376" i="1" s="1"/>
  <c r="J384" i="1" a="1"/>
  <c r="J384" i="1" s="1"/>
  <c r="J418" i="1" a="1"/>
  <c r="J418" i="1" s="1"/>
  <c r="J427" i="1" a="1"/>
  <c r="J427" i="1" s="1"/>
  <c r="J468" i="1" a="1"/>
  <c r="J468" i="1" s="1"/>
  <c r="J476" i="1" a="1"/>
  <c r="J476" i="1" s="1"/>
  <c r="J484" i="1" a="1"/>
  <c r="J484" i="1" s="1"/>
  <c r="J492" i="1" a="1"/>
  <c r="J492" i="1" s="1"/>
  <c r="J501" i="1" a="1"/>
  <c r="J501" i="1" s="1"/>
  <c r="J509" i="1" a="1"/>
  <c r="J509" i="1" s="1"/>
  <c r="J541" i="1" a="1"/>
  <c r="J541" i="1" s="1"/>
  <c r="J565" i="1" a="1"/>
  <c r="J565" i="1" s="1"/>
  <c r="J581" i="1" a="1"/>
  <c r="J581" i="1" s="1"/>
  <c r="J590" i="1" a="1"/>
  <c r="J590" i="1" s="1"/>
  <c r="J598" i="1" a="1"/>
  <c r="J598" i="1" s="1"/>
  <c r="J605" i="1" a="1"/>
  <c r="J605" i="1" s="1"/>
  <c r="J614" i="1" a="1"/>
  <c r="J614" i="1" s="1"/>
  <c r="J629" i="1" a="1"/>
  <c r="J629" i="1" s="1"/>
  <c r="J636" i="1" a="1"/>
  <c r="J636" i="1" s="1"/>
  <c r="J644" i="1" a="1"/>
  <c r="J644" i="1" s="1"/>
  <c r="J667" i="1" a="1"/>
  <c r="J667" i="1" s="1"/>
  <c r="J675" i="1" a="1"/>
  <c r="J675" i="1" s="1"/>
  <c r="J683" i="1" a="1"/>
  <c r="J683" i="1" s="1"/>
  <c r="J690" i="1" a="1"/>
  <c r="J690" i="1" s="1"/>
  <c r="J699" i="1" a="1"/>
  <c r="J699" i="1" s="1"/>
  <c r="J721" i="1" a="1"/>
  <c r="J721" i="1" s="1"/>
  <c r="J729" i="1" a="1"/>
  <c r="J729" i="1" s="1"/>
  <c r="J745" i="1" a="1"/>
  <c r="J745" i="1" s="1"/>
  <c r="J753" i="1" a="1"/>
  <c r="J753" i="1" s="1"/>
  <c r="J761" i="1" a="1"/>
  <c r="J761" i="1" s="1"/>
  <c r="J14" i="1" a="1"/>
  <c r="J14" i="1" s="1"/>
  <c r="J37" i="1" a="1"/>
  <c r="J37" i="1" s="1"/>
  <c r="J19" i="1" a="1"/>
  <c r="J19" i="1" s="1"/>
  <c r="J27" i="1" a="1"/>
  <c r="J27" i="1" s="1"/>
  <c r="J78" i="1" a="1"/>
  <c r="J78" i="1" s="1"/>
  <c r="J90" i="1" a="1"/>
  <c r="J90" i="1" s="1"/>
  <c r="J101" i="1" a="1"/>
  <c r="J101" i="1" s="1"/>
  <c r="J113" i="1" a="1"/>
  <c r="J113" i="1" s="1"/>
  <c r="J123" i="1" a="1"/>
  <c r="J123" i="1" s="1"/>
  <c r="J144" i="1" a="1"/>
  <c r="J144" i="1" s="1"/>
  <c r="J154" i="1" a="1"/>
  <c r="J154" i="1" s="1"/>
  <c r="J163" i="1" a="1"/>
  <c r="J163" i="1" s="1"/>
  <c r="J173" i="1" a="1"/>
  <c r="J173" i="1" s="1"/>
  <c r="J204" i="1" a="1"/>
  <c r="J204" i="1" s="1"/>
  <c r="J213" i="1" a="1"/>
  <c r="J213" i="1" s="1"/>
  <c r="J223" i="1" a="1"/>
  <c r="J223" i="1" s="1"/>
  <c r="J232" i="1" a="1"/>
  <c r="J232" i="1" s="1"/>
  <c r="J253" i="1" a="1"/>
  <c r="J253" i="1" s="1"/>
  <c r="J263" i="1" a="1"/>
  <c r="J263" i="1" s="1"/>
  <c r="J273" i="1" a="1"/>
  <c r="J273" i="1" s="1"/>
  <c r="J282" i="1" a="1"/>
  <c r="J282" i="1" s="1"/>
  <c r="J289" i="1" a="1"/>
  <c r="J289" i="1" s="1"/>
  <c r="J305" i="1" a="1"/>
  <c r="J305" i="1" s="1"/>
  <c r="J332" i="1" a="1"/>
  <c r="J332" i="1" s="1"/>
  <c r="J342" i="1" a="1"/>
  <c r="J342" i="1" s="1"/>
  <c r="J350" i="1" a="1"/>
  <c r="J350" i="1" s="1"/>
  <c r="J367" i="1" a="1"/>
  <c r="J367" i="1" s="1"/>
  <c r="J385" i="1" a="1"/>
  <c r="J385" i="1" s="1"/>
  <c r="J393" i="1" a="1"/>
  <c r="J393" i="1" s="1"/>
  <c r="J401" i="1" a="1"/>
  <c r="J401" i="1" s="1"/>
  <c r="J409" i="1" a="1"/>
  <c r="J409" i="1" s="1"/>
  <c r="J435" i="1" a="1"/>
  <c r="J435" i="1" s="1"/>
  <c r="J443" i="1" a="1"/>
  <c r="J443" i="1" s="1"/>
  <c r="J451" i="1" a="1"/>
  <c r="J451" i="1" s="1"/>
  <c r="J460" i="1" a="1"/>
  <c r="J460" i="1" s="1"/>
  <c r="J485" i="1" a="1"/>
  <c r="J485" i="1" s="1"/>
  <c r="J510" i="1" a="1"/>
  <c r="J510" i="1" s="1"/>
  <c r="J518" i="1" a="1"/>
  <c r="J518" i="1" s="1"/>
  <c r="J526" i="1" a="1"/>
  <c r="J526" i="1" s="1"/>
  <c r="J533" i="1" a="1"/>
  <c r="J533" i="1" s="1"/>
  <c r="J542" i="1" a="1"/>
  <c r="J542" i="1" s="1"/>
  <c r="J549" i="1" a="1"/>
  <c r="J549" i="1" s="1"/>
  <c r="J558" i="1" a="1"/>
  <c r="J558" i="1" s="1"/>
  <c r="J566" i="1" a="1"/>
  <c r="J566" i="1" s="1"/>
  <c r="J574" i="1" a="1"/>
  <c r="J574" i="1" s="1"/>
  <c r="J582" i="1" a="1"/>
  <c r="J582" i="1" s="1"/>
  <c r="J599" i="1" a="1"/>
  <c r="J599" i="1" s="1"/>
  <c r="J621" i="1" a="1"/>
  <c r="J621" i="1" s="1"/>
  <c r="J637" i="1" a="1"/>
  <c r="J637" i="1" s="1"/>
  <c r="J645" i="1" a="1"/>
  <c r="J645" i="1" s="1"/>
  <c r="J652" i="1" a="1"/>
  <c r="J652" i="1" s="1"/>
  <c r="J660" i="1" a="1"/>
  <c r="J660" i="1" s="1"/>
  <c r="J668" i="1" a="1"/>
  <c r="J668" i="1" s="1"/>
  <c r="J684" i="1" a="1"/>
  <c r="J684" i="1" s="1"/>
  <c r="J706" i="1" a="1"/>
  <c r="J706" i="1" s="1"/>
  <c r="J714" i="1" a="1"/>
  <c r="J714" i="1" s="1"/>
  <c r="J722" i="1" a="1"/>
  <c r="J722" i="1" s="1"/>
  <c r="J730" i="1" a="1"/>
  <c r="J730" i="1" s="1"/>
  <c r="J737" i="1" a="1"/>
  <c r="J737" i="1" s="1"/>
  <c r="J746" i="1" a="1"/>
  <c r="J746" i="1" s="1"/>
  <c r="J754" i="1" a="1"/>
  <c r="J754" i="1" s="1"/>
  <c r="J42" i="1" a="1"/>
  <c r="J42" i="1" s="1"/>
  <c r="J35" i="1" a="1"/>
  <c r="J35" i="1" s="1"/>
  <c r="J16" i="1" a="1"/>
  <c r="J16" i="1" s="1"/>
  <c r="J21" i="1" a="1"/>
  <c r="J21" i="1" s="1"/>
  <c r="J29" i="1" a="1"/>
  <c r="J29" i="1" s="1"/>
  <c r="J17" i="1" a="1"/>
  <c r="J17" i="1" s="1"/>
  <c r="J80" i="1" a="1"/>
  <c r="J80" i="1" s="1"/>
  <c r="J92" i="1" a="1"/>
  <c r="J92" i="1" s="1"/>
  <c r="J103" i="1" a="1"/>
  <c r="J103" i="1" s="1"/>
  <c r="J115" i="1" a="1"/>
  <c r="J115" i="1" s="1"/>
  <c r="J125" i="1" a="1"/>
  <c r="J125" i="1" s="1"/>
  <c r="J156" i="1" a="1"/>
  <c r="J156" i="1" s="1"/>
  <c r="J165" i="1" a="1"/>
  <c r="J165" i="1" s="1"/>
  <c r="J175" i="1" a="1"/>
  <c r="J175" i="1" s="1"/>
  <c r="J184" i="1" a="1"/>
  <c r="J184" i="1" s="1"/>
  <c r="J205" i="1" a="1"/>
  <c r="J205" i="1" s="1"/>
  <c r="J215" i="1" a="1"/>
  <c r="J215" i="1" s="1"/>
  <c r="J225" i="1" a="1"/>
  <c r="J225" i="1" s="1"/>
  <c r="J234" i="1" a="1"/>
  <c r="J234" i="1" s="1"/>
  <c r="J59" i="1" a="1"/>
  <c r="J59" i="1" s="1"/>
  <c r="J62" i="1" a="1"/>
  <c r="J62" i="1" s="1"/>
  <c r="J23" i="1" a="1"/>
  <c r="J23" i="1" s="1"/>
  <c r="J45" i="1" a="1"/>
  <c r="J45" i="1" s="1"/>
  <c r="J71" i="1" a="1"/>
  <c r="J71" i="1" s="1"/>
  <c r="J82" i="1" a="1"/>
  <c r="J82" i="1" s="1"/>
  <c r="J93" i="1" a="1"/>
  <c r="J93" i="1" s="1"/>
  <c r="J105" i="1" a="1"/>
  <c r="J105" i="1" s="1"/>
  <c r="J117" i="1" a="1"/>
  <c r="J117" i="1" s="1"/>
  <c r="J127" i="1" a="1"/>
  <c r="J127" i="1" s="1"/>
  <c r="J136" i="1" a="1"/>
  <c r="J136" i="1" s="1"/>
  <c r="J157" i="1" a="1"/>
  <c r="J157" i="1" s="1"/>
  <c r="J167" i="1" a="1"/>
  <c r="J167" i="1" s="1"/>
  <c r="J177" i="1" a="1"/>
  <c r="J177" i="1" s="1"/>
  <c r="J186" i="1" a="1"/>
  <c r="J186" i="1" s="1"/>
  <c r="J196" i="1" a="1"/>
  <c r="J196" i="1" s="1"/>
  <c r="J206" i="1" a="1"/>
  <c r="J206" i="1" s="1"/>
  <c r="J217" i="1" a="1"/>
  <c r="J217" i="1" s="1"/>
  <c r="J227" i="1" a="1"/>
  <c r="J227" i="1" s="1"/>
  <c r="J15" i="1" a="1"/>
  <c r="J15" i="1" s="1"/>
  <c r="J63" i="1" a="1"/>
  <c r="J63" i="1" s="1"/>
  <c r="J24" i="1" a="1"/>
  <c r="J24" i="1" s="1"/>
  <c r="J46" i="1" a="1"/>
  <c r="J46" i="1" s="1"/>
  <c r="J72" i="1" a="1"/>
  <c r="J72" i="1" s="1"/>
  <c r="J83" i="1" a="1"/>
  <c r="J83" i="1" s="1"/>
  <c r="J94" i="1" a="1"/>
  <c r="J94" i="1" s="1"/>
  <c r="J106" i="1" a="1"/>
  <c r="J106" i="1" s="1"/>
  <c r="J118" i="1" a="1"/>
  <c r="J118" i="1" s="1"/>
  <c r="J128" i="1" a="1"/>
  <c r="J128" i="1" s="1"/>
  <c r="J137" i="1" a="1"/>
  <c r="J137" i="1" s="1"/>
  <c r="J147" i="1" a="1"/>
  <c r="J147" i="1" s="1"/>
  <c r="J168" i="1" a="1"/>
  <c r="J168" i="1" s="1"/>
  <c r="J178" i="1" a="1"/>
  <c r="J178" i="1" s="1"/>
  <c r="J187" i="1" a="1"/>
  <c r="J187" i="1" s="1"/>
  <c r="J197" i="1" a="1"/>
  <c r="J197" i="1" s="1"/>
  <c r="J228" i="1" a="1"/>
  <c r="J228" i="1" s="1"/>
  <c r="J237" i="1" a="1"/>
  <c r="J237" i="1" s="1"/>
  <c r="J30" i="1" a="1"/>
  <c r="J30" i="1" s="1"/>
  <c r="J25" i="1" a="1"/>
  <c r="J25" i="1" s="1"/>
  <c r="J65" i="1" a="1"/>
  <c r="J65" i="1" s="1"/>
  <c r="J73" i="1" a="1"/>
  <c r="J73" i="1" s="1"/>
  <c r="J84" i="1" a="1"/>
  <c r="J84" i="1" s="1"/>
  <c r="J95" i="1" a="1"/>
  <c r="J95" i="1" s="1"/>
  <c r="J107" i="1" a="1"/>
  <c r="J107" i="1" s="1"/>
  <c r="J119" i="1" a="1"/>
  <c r="J119" i="1" s="1"/>
  <c r="J129" i="1" a="1"/>
  <c r="J129" i="1" s="1"/>
  <c r="J138" i="1" a="1"/>
  <c r="J138" i="1" s="1"/>
  <c r="J148" i="1" a="1"/>
  <c r="J148" i="1" s="1"/>
  <c r="J158" i="1" a="1"/>
  <c r="J158" i="1" s="1"/>
  <c r="J169" i="1" a="1"/>
  <c r="J169" i="1" s="1"/>
  <c r="J179" i="1" a="1"/>
  <c r="J179" i="1" s="1"/>
  <c r="J188" i="1" a="1"/>
  <c r="J188" i="1" s="1"/>
  <c r="J198" i="1" a="1"/>
  <c r="J198" i="1" s="1"/>
  <c r="J207" i="1" a="1"/>
  <c r="J207" i="1" s="1"/>
  <c r="J218" i="1" a="1"/>
  <c r="J218" i="1" s="1"/>
  <c r="J67" i="1" a="1"/>
  <c r="J67" i="1" s="1"/>
  <c r="J43" i="1" a="1"/>
  <c r="J43" i="1" s="1"/>
  <c r="J39" i="1" a="1"/>
  <c r="J39" i="1" s="1"/>
  <c r="J68" i="1" a="1"/>
  <c r="J68" i="1" s="1"/>
  <c r="J40" i="1" a="1"/>
  <c r="J40" i="1" s="1"/>
  <c r="J75" i="1" a="1"/>
  <c r="J75" i="1" s="1"/>
  <c r="J87" i="1" a="1"/>
  <c r="J87" i="1" s="1"/>
  <c r="J98" i="1" a="1"/>
  <c r="J98" i="1" s="1"/>
  <c r="J110" i="1" a="1"/>
  <c r="J110" i="1" s="1"/>
  <c r="J132" i="1" a="1"/>
  <c r="J132" i="1" s="1"/>
  <c r="J141" i="1" a="1"/>
  <c r="J141" i="1" s="1"/>
  <c r="J151" i="1" a="1"/>
  <c r="J151" i="1" s="1"/>
  <c r="J160" i="1" a="1"/>
  <c r="J160" i="1" s="1"/>
  <c r="J181" i="1" a="1"/>
  <c r="J181" i="1" s="1"/>
  <c r="J191" i="1" a="1"/>
  <c r="J191" i="1" s="1"/>
  <c r="J201" i="1" a="1"/>
  <c r="J201" i="1" s="1"/>
  <c r="J210" i="1" a="1"/>
  <c r="J210" i="1" s="1"/>
  <c r="J220" i="1" a="1"/>
  <c r="J220" i="1" s="1"/>
  <c r="J230" i="1" a="1"/>
  <c r="J230" i="1" s="1"/>
  <c r="J241" i="1" a="1"/>
  <c r="J241" i="1" s="1"/>
  <c r="J251" i="1" a="1"/>
  <c r="J251" i="1" s="1"/>
  <c r="J260" i="1" a="1"/>
  <c r="J260" i="1" s="1"/>
  <c r="J270" i="1" a="1"/>
  <c r="J270" i="1" s="1"/>
  <c r="J279" i="1" a="1"/>
  <c r="J279" i="1" s="1"/>
  <c r="J287" i="1" a="1"/>
  <c r="J287" i="1" s="1"/>
  <c r="J295" i="1" a="1"/>
  <c r="J295" i="1" s="1"/>
  <c r="J312" i="1" a="1"/>
  <c r="J312" i="1" s="1"/>
  <c r="J320" i="1" a="1"/>
  <c r="J320" i="1" s="1"/>
  <c r="J329" i="1" a="1"/>
  <c r="J329" i="1" s="1"/>
  <c r="J339" i="1" a="1"/>
  <c r="J339" i="1" s="1"/>
  <c r="J357" i="1" a="1"/>
  <c r="J357" i="1" s="1"/>
  <c r="J365" i="1" a="1"/>
  <c r="J365" i="1" s="1"/>
  <c r="J382" i="1" a="1"/>
  <c r="J382" i="1" s="1"/>
  <c r="J399" i="1" a="1"/>
  <c r="J399" i="1" s="1"/>
  <c r="J407" i="1" a="1"/>
  <c r="J407" i="1" s="1"/>
  <c r="J417" i="1" a="1"/>
  <c r="J417" i="1" s="1"/>
  <c r="J425" i="1" a="1"/>
  <c r="J425" i="1" s="1"/>
  <c r="J441" i="1" a="1"/>
  <c r="J441" i="1" s="1"/>
  <c r="J449" i="1" a="1"/>
  <c r="J449" i="1" s="1"/>
  <c r="J458" i="1" a="1"/>
  <c r="J458" i="1" s="1"/>
  <c r="J475" i="1" a="1"/>
  <c r="J475" i="1" s="1"/>
  <c r="J500" i="1" a="1"/>
  <c r="J500" i="1" s="1"/>
  <c r="J507" i="1" a="1"/>
  <c r="J507" i="1" s="1"/>
  <c r="J516" i="1" a="1"/>
  <c r="J516" i="1" s="1"/>
  <c r="J540" i="1" a="1"/>
  <c r="J540" i="1" s="1"/>
  <c r="J547" i="1" a="1"/>
  <c r="J547" i="1" s="1"/>
  <c r="J572" i="1" a="1"/>
  <c r="J572" i="1" s="1"/>
  <c r="J588" i="1" a="1"/>
  <c r="J588" i="1" s="1"/>
  <c r="J604" i="1" a="1"/>
  <c r="J604" i="1" s="1"/>
  <c r="J619" i="1" a="1"/>
  <c r="J619" i="1" s="1"/>
  <c r="J628" i="1" a="1"/>
  <c r="J628" i="1" s="1"/>
  <c r="J54" i="1" a="1"/>
  <c r="J54" i="1" s="1"/>
  <c r="J97" i="1" a="1"/>
  <c r="J97" i="1" s="1"/>
  <c r="J131" i="1" a="1"/>
  <c r="J131" i="1" s="1"/>
  <c r="J159" i="1" a="1"/>
  <c r="J159" i="1" s="1"/>
  <c r="J190" i="1" a="1"/>
  <c r="J190" i="1" s="1"/>
  <c r="J219" i="1" a="1"/>
  <c r="J219" i="1" s="1"/>
  <c r="J243" i="1" a="1"/>
  <c r="J243" i="1" s="1"/>
  <c r="J256" i="1" a="1"/>
  <c r="J256" i="1" s="1"/>
  <c r="J274" i="1" a="1"/>
  <c r="J274" i="1" s="1"/>
  <c r="J297" i="1" a="1"/>
  <c r="J297" i="1" s="1"/>
  <c r="J309" i="1" a="1"/>
  <c r="J309" i="1" s="1"/>
  <c r="J322" i="1" a="1"/>
  <c r="J322" i="1" s="1"/>
  <c r="J336" i="1" a="1"/>
  <c r="J336" i="1" s="1"/>
  <c r="J362" i="1" a="1"/>
  <c r="J362" i="1" s="1"/>
  <c r="J377" i="1" a="1"/>
  <c r="J377" i="1" s="1"/>
  <c r="J402" i="1" a="1"/>
  <c r="J402" i="1" s="1"/>
  <c r="J413" i="1" a="1"/>
  <c r="J413" i="1" s="1"/>
  <c r="J428" i="1" a="1"/>
  <c r="J428" i="1" s="1"/>
  <c r="J464" i="1" a="1"/>
  <c r="J464" i="1" s="1"/>
  <c r="J477" i="1" a="1"/>
  <c r="J477" i="1" s="1"/>
  <c r="J488" i="1" a="1"/>
  <c r="J488" i="1" s="1"/>
  <c r="J502" i="1" a="1"/>
  <c r="J502" i="1" s="1"/>
  <c r="J537" i="1" a="1"/>
  <c r="J537" i="1" s="1"/>
  <c r="J550" i="1" a="1"/>
  <c r="J550" i="1" s="1"/>
  <c r="J561" i="1" a="1"/>
  <c r="J561" i="1" s="1"/>
  <c r="J586" i="1" a="1"/>
  <c r="J586" i="1" s="1"/>
  <c r="J622" i="1" a="1"/>
  <c r="J622" i="1" s="1"/>
  <c r="J642" i="1" a="1"/>
  <c r="J642" i="1" s="1"/>
  <c r="J673" i="1" a="1"/>
  <c r="J673" i="1" s="1"/>
  <c r="J685" i="1" a="1"/>
  <c r="J685" i="1" s="1"/>
  <c r="J694" i="1" a="1"/>
  <c r="J694" i="1" s="1"/>
  <c r="J704" i="1" a="1"/>
  <c r="J704" i="1" s="1"/>
  <c r="J733" i="1" a="1"/>
  <c r="J733" i="1" s="1"/>
  <c r="J743" i="1" a="1"/>
  <c r="J743" i="1" s="1"/>
  <c r="J751" i="1" a="1"/>
  <c r="J751" i="1" s="1"/>
  <c r="J771" i="1" a="1"/>
  <c r="J771" i="1" s="1"/>
  <c r="J786" i="1" a="1"/>
  <c r="J786" i="1" s="1"/>
  <c r="J810" i="1" a="1"/>
  <c r="J810" i="1" s="1"/>
  <c r="J827" i="1" a="1"/>
  <c r="J827" i="1" s="1"/>
  <c r="J834" i="1" a="1"/>
  <c r="J834" i="1" s="1"/>
  <c r="J850" i="1" a="1"/>
  <c r="J850" i="1" s="1"/>
  <c r="J867" i="1" a="1"/>
  <c r="J867" i="1" s="1"/>
  <c r="J875" i="1" a="1"/>
  <c r="J875" i="1" s="1"/>
  <c r="J891" i="1" a="1"/>
  <c r="J891" i="1" s="1"/>
  <c r="J900" i="1" a="1"/>
  <c r="J900" i="1" s="1"/>
  <c r="J916" i="1" a="1"/>
  <c r="J916" i="1" s="1"/>
  <c r="J923" i="1" a="1"/>
  <c r="J923" i="1" s="1"/>
  <c r="J931" i="1" a="1"/>
  <c r="J931" i="1" s="1"/>
  <c r="J946" i="1" a="1"/>
  <c r="J946" i="1" s="1"/>
  <c r="J953" i="1" a="1"/>
  <c r="J953" i="1" s="1"/>
  <c r="J988" i="1" a="1"/>
  <c r="J988" i="1" s="1"/>
  <c r="J1013" i="1" a="1"/>
  <c r="J1013" i="1" s="1"/>
  <c r="J967" i="1" a="1"/>
  <c r="J967" i="1" s="1"/>
  <c r="J60" i="1" a="1"/>
  <c r="J60" i="1" s="1"/>
  <c r="J102" i="1" a="1"/>
  <c r="J102" i="1" s="1"/>
  <c r="J134" i="1" a="1"/>
  <c r="J134" i="1" s="1"/>
  <c r="J164" i="1" a="1"/>
  <c r="J164" i="1" s="1"/>
  <c r="J194" i="1" a="1"/>
  <c r="J194" i="1" s="1"/>
  <c r="J224" i="1" a="1"/>
  <c r="J224" i="1" s="1"/>
  <c r="J244" i="1" a="1"/>
  <c r="J244" i="1" s="1"/>
  <c r="J257" i="1" a="1"/>
  <c r="J257" i="1" s="1"/>
  <c r="J275" i="1" a="1"/>
  <c r="J275" i="1" s="1"/>
  <c r="J285" i="1" a="1"/>
  <c r="J285" i="1" s="1"/>
  <c r="J323" i="1" a="1"/>
  <c r="J323" i="1" s="1"/>
  <c r="J351" i="1" a="1"/>
  <c r="J351" i="1" s="1"/>
  <c r="J363" i="1" a="1"/>
  <c r="J363" i="1" s="1"/>
  <c r="J378" i="1" a="1"/>
  <c r="J378" i="1" s="1"/>
  <c r="J389" i="1" a="1"/>
  <c r="J389" i="1" s="1"/>
  <c r="J403" i="1" a="1"/>
  <c r="J403" i="1" s="1"/>
  <c r="J414" i="1" a="1"/>
  <c r="J414" i="1" s="1"/>
  <c r="J429" i="1" a="1"/>
  <c r="J429" i="1" s="1"/>
  <c r="J439" i="1" a="1"/>
  <c r="J439" i="1" s="1"/>
  <c r="J452" i="1" a="1"/>
  <c r="J452" i="1" s="1"/>
  <c r="J489" i="1" a="1"/>
  <c r="J489" i="1" s="1"/>
  <c r="J503" i="1" a="1"/>
  <c r="J503" i="1" s="1"/>
  <c r="J514" i="1" a="1"/>
  <c r="J514" i="1" s="1"/>
  <c r="J527" i="1" a="1"/>
  <c r="J527" i="1" s="1"/>
  <c r="J575" i="1" a="1"/>
  <c r="J575" i="1" s="1"/>
  <c r="J600" i="1" a="1"/>
  <c r="J600" i="1" s="1"/>
  <c r="J610" i="1" a="1"/>
  <c r="J610" i="1" s="1"/>
  <c r="J633" i="1" a="1"/>
  <c r="J633" i="1" s="1"/>
  <c r="J654" i="1" a="1"/>
  <c r="J654" i="1" s="1"/>
  <c r="J664" i="1" a="1"/>
  <c r="J664" i="1" s="1"/>
  <c r="J674" i="1" a="1"/>
  <c r="J674" i="1" s="1"/>
  <c r="J686" i="1" a="1"/>
  <c r="J686" i="1" s="1"/>
  <c r="J715" i="1" a="1"/>
  <c r="J715" i="1" s="1"/>
  <c r="J724" i="1" a="1"/>
  <c r="J724" i="1" s="1"/>
  <c r="J734" i="1" a="1"/>
  <c r="J734" i="1" s="1"/>
  <c r="J752" i="1" a="1"/>
  <c r="J752" i="1" s="1"/>
  <c r="J762" i="1" a="1"/>
  <c r="J762" i="1" s="1"/>
  <c r="J778" i="1" a="1"/>
  <c r="J778" i="1" s="1"/>
  <c r="J795" i="1" a="1"/>
  <c r="J795" i="1" s="1"/>
  <c r="J803" i="1" a="1"/>
  <c r="J803" i="1" s="1"/>
  <c r="J819" i="1" a="1"/>
  <c r="J819" i="1" s="1"/>
  <c r="J828" i="1" a="1"/>
  <c r="J828" i="1" s="1"/>
  <c r="J844" i="1" a="1"/>
  <c r="J844" i="1" s="1"/>
  <c r="J851" i="1" a="1"/>
  <c r="J851" i="1" s="1"/>
  <c r="J859" i="1" a="1"/>
  <c r="J859" i="1" s="1"/>
  <c r="J883" i="1" a="1"/>
  <c r="J883" i="1" s="1"/>
  <c r="J907" i="1" a="1"/>
  <c r="J907" i="1" s="1"/>
  <c r="J924" i="1" a="1"/>
  <c r="J924" i="1" s="1"/>
  <c r="J932" i="1" a="1"/>
  <c r="J932" i="1" s="1"/>
  <c r="J940" i="1" a="1"/>
  <c r="J940" i="1" s="1"/>
  <c r="J947" i="1" a="1"/>
  <c r="J947" i="1" s="1"/>
  <c r="J960" i="1" a="1"/>
  <c r="J960" i="1" s="1"/>
  <c r="J981" i="1" a="1"/>
  <c r="J981" i="1" s="1"/>
  <c r="J61" i="1" a="1"/>
  <c r="J61" i="1" s="1"/>
  <c r="J70" i="1" a="1"/>
  <c r="J70" i="1" s="1"/>
  <c r="J104" i="1" a="1"/>
  <c r="J104" i="1" s="1"/>
  <c r="J135" i="1" a="1"/>
  <c r="J135" i="1" s="1"/>
  <c r="J166" i="1" a="1"/>
  <c r="J166" i="1" s="1"/>
  <c r="J195" i="1" a="1"/>
  <c r="J195" i="1" s="1"/>
  <c r="J226" i="1" a="1"/>
  <c r="J226" i="1" s="1"/>
  <c r="J245" i="1" a="1"/>
  <c r="J245" i="1" s="1"/>
  <c r="J258" i="1" a="1"/>
  <c r="J258" i="1" s="1"/>
  <c r="J276" i="1" a="1"/>
  <c r="J276" i="1" s="1"/>
  <c r="J298" i="1" a="1"/>
  <c r="J298" i="1" s="1"/>
  <c r="J310" i="1" a="1"/>
  <c r="J310" i="1" s="1"/>
  <c r="J324" i="1" a="1"/>
  <c r="J324" i="1" s="1"/>
  <c r="J337" i="1" a="1"/>
  <c r="J337" i="1" s="1"/>
  <c r="J352" i="1" a="1"/>
  <c r="J352" i="1" s="1"/>
  <c r="J390" i="1" a="1"/>
  <c r="J390" i="1" s="1"/>
  <c r="J415" i="1" a="1"/>
  <c r="J415" i="1" s="1"/>
  <c r="J440" i="1" a="1"/>
  <c r="J440" i="1" s="1"/>
  <c r="J453" i="1" a="1"/>
  <c r="J453" i="1" s="1"/>
  <c r="J465" i="1" a="1"/>
  <c r="J465" i="1" s="1"/>
  <c r="J478" i="1" a="1"/>
  <c r="J478" i="1" s="1"/>
  <c r="J504" i="1" a="1"/>
  <c r="J504" i="1" s="1"/>
  <c r="J528" i="1" a="1"/>
  <c r="J528" i="1" s="1"/>
  <c r="J538" i="1" a="1"/>
  <c r="J538" i="1" s="1"/>
  <c r="J551" i="1" a="1"/>
  <c r="J551" i="1" s="1"/>
  <c r="J562" i="1" a="1"/>
  <c r="J562" i="1" s="1"/>
  <c r="J576" i="1" a="1"/>
  <c r="J576" i="1" s="1"/>
  <c r="J587" i="1" a="1"/>
  <c r="J587" i="1" s="1"/>
  <c r="J611" i="1" a="1"/>
  <c r="J611" i="1" s="1"/>
  <c r="J623" i="1" a="1"/>
  <c r="J623" i="1" s="1"/>
  <c r="J676" i="1" a="1"/>
  <c r="J676" i="1" s="1"/>
  <c r="J695" i="1" a="1"/>
  <c r="J695" i="1" s="1"/>
  <c r="J707" i="1" a="1"/>
  <c r="J707" i="1" s="1"/>
  <c r="J716" i="1" a="1"/>
  <c r="J716" i="1" s="1"/>
  <c r="J725" i="1" a="1"/>
  <c r="J725" i="1" s="1"/>
  <c r="J744" i="1" a="1"/>
  <c r="J744" i="1" s="1"/>
  <c r="J755" i="1" a="1"/>
  <c r="J755" i="1" s="1"/>
  <c r="J772" i="1" a="1"/>
  <c r="J772" i="1" s="1"/>
  <c r="J779" i="1" a="1"/>
  <c r="J779" i="1" s="1"/>
  <c r="J787" i="1" a="1"/>
  <c r="J787" i="1" s="1"/>
  <c r="J811" i="1" a="1"/>
  <c r="J811" i="1" s="1"/>
  <c r="J835" i="1" a="1"/>
  <c r="J835" i="1" s="1"/>
  <c r="J852" i="1" a="1"/>
  <c r="J852" i="1" s="1"/>
  <c r="J860" i="1" a="1"/>
  <c r="J860" i="1" s="1"/>
  <c r="J868" i="1" a="1"/>
  <c r="J868" i="1" s="1"/>
  <c r="J876" i="1" a="1"/>
  <c r="J876" i="1" s="1"/>
  <c r="J884" i="1" a="1"/>
  <c r="J884" i="1" s="1"/>
  <c r="J892" i="1" a="1"/>
  <c r="J892" i="1" s="1"/>
  <c r="J901" i="1" a="1"/>
  <c r="J901" i="1" s="1"/>
  <c r="J908" i="1" a="1"/>
  <c r="J908" i="1" s="1"/>
  <c r="J64" i="1" a="1"/>
  <c r="J64" i="1" s="1"/>
  <c r="J74" i="1" a="1"/>
  <c r="J74" i="1" s="1"/>
  <c r="J108" i="1" a="1"/>
  <c r="J108" i="1" s="1"/>
  <c r="J139" i="1" a="1"/>
  <c r="J139" i="1" s="1"/>
  <c r="J199" i="1" a="1"/>
  <c r="J199" i="1" s="1"/>
  <c r="J246" i="1" a="1"/>
  <c r="J246" i="1" s="1"/>
  <c r="J259" i="1" a="1"/>
  <c r="J259" i="1" s="1"/>
  <c r="J286" i="1" a="1"/>
  <c r="J286" i="1" s="1"/>
  <c r="J299" i="1" a="1"/>
  <c r="J299" i="1" s="1"/>
  <c r="J311" i="1" a="1"/>
  <c r="J311" i="1" s="1"/>
  <c r="J325" i="1" a="1"/>
  <c r="J325" i="1" s="1"/>
  <c r="J338" i="1" a="1"/>
  <c r="J338" i="1" s="1"/>
  <c r="J353" i="1" a="1"/>
  <c r="J353" i="1" s="1"/>
  <c r="J364" i="1" a="1"/>
  <c r="J364" i="1" s="1"/>
  <c r="J379" i="1" a="1"/>
  <c r="J379" i="1" s="1"/>
  <c r="J391" i="1" a="1"/>
  <c r="J391" i="1" s="1"/>
  <c r="J404" i="1" a="1"/>
  <c r="J404" i="1" s="1"/>
  <c r="J416" i="1" a="1"/>
  <c r="J416" i="1" s="1"/>
  <c r="J430" i="1" a="1"/>
  <c r="J430" i="1" s="1"/>
  <c r="J454" i="1" a="1"/>
  <c r="J454" i="1" s="1"/>
  <c r="J466" i="1" a="1"/>
  <c r="J466" i="1" s="1"/>
  <c r="J479" i="1" a="1"/>
  <c r="J479" i="1" s="1"/>
  <c r="J490" i="1" a="1"/>
  <c r="J490" i="1" s="1"/>
  <c r="J515" i="1" a="1"/>
  <c r="J515" i="1" s="1"/>
  <c r="J539" i="1" a="1"/>
  <c r="J539" i="1" s="1"/>
  <c r="J552" i="1" a="1"/>
  <c r="J552" i="1" s="1"/>
  <c r="J563" i="1" a="1"/>
  <c r="J563" i="1" s="1"/>
  <c r="J601" i="1" a="1"/>
  <c r="J601" i="1" s="1"/>
  <c r="J612" i="1" a="1"/>
  <c r="J612" i="1" s="1"/>
  <c r="J624" i="1" a="1"/>
  <c r="J624" i="1" s="1"/>
  <c r="J634" i="1" a="1"/>
  <c r="J634" i="1" s="1"/>
  <c r="J646" i="1" a="1"/>
  <c r="J646" i="1" s="1"/>
  <c r="J655" i="1" a="1"/>
  <c r="J655" i="1" s="1"/>
  <c r="J665" i="1" a="1"/>
  <c r="J665" i="1" s="1"/>
  <c r="J687" i="1" a="1"/>
  <c r="J687" i="1" s="1"/>
  <c r="J696" i="1" a="1"/>
  <c r="J696" i="1" s="1"/>
  <c r="J717" i="1" a="1"/>
  <c r="J717" i="1" s="1"/>
  <c r="J735" i="1" a="1"/>
  <c r="J735" i="1" s="1"/>
  <c r="J756" i="1" a="1"/>
  <c r="J756" i="1" s="1"/>
  <c r="J763" i="1" a="1"/>
  <c r="J763" i="1" s="1"/>
  <c r="J780" i="1" a="1"/>
  <c r="J780" i="1" s="1"/>
  <c r="J788" i="1" a="1"/>
  <c r="J788" i="1" s="1"/>
  <c r="J796" i="1" a="1"/>
  <c r="J796" i="1" s="1"/>
  <c r="J804" i="1" a="1"/>
  <c r="J804" i="1" s="1"/>
  <c r="J812" i="1" a="1"/>
  <c r="J812" i="1" s="1"/>
  <c r="J820" i="1" a="1"/>
  <c r="J820" i="1" s="1"/>
  <c r="J829" i="1" a="1"/>
  <c r="J829" i="1" s="1"/>
  <c r="J836" i="1" a="1"/>
  <c r="J836" i="1" s="1"/>
  <c r="J845" i="1" a="1"/>
  <c r="J845" i="1" s="1"/>
  <c r="J38" i="1" a="1"/>
  <c r="J38" i="1" s="1"/>
  <c r="J109" i="1" a="1"/>
  <c r="J109" i="1" s="1"/>
  <c r="J140" i="1" a="1"/>
  <c r="J140" i="1" s="1"/>
  <c r="J170" i="1" a="1"/>
  <c r="J170" i="1" s="1"/>
  <c r="J200" i="1" a="1"/>
  <c r="J200" i="1" s="1"/>
  <c r="J229" i="1" a="1"/>
  <c r="J229" i="1" s="1"/>
  <c r="J247" i="1" a="1"/>
  <c r="J247" i="1" s="1"/>
  <c r="J264" i="1" a="1"/>
  <c r="J264" i="1" s="1"/>
  <c r="J277" i="1" a="1"/>
  <c r="J277" i="1" s="1"/>
  <c r="J300" i="1" a="1"/>
  <c r="J300" i="1" s="1"/>
  <c r="J314" i="1" a="1"/>
  <c r="J314" i="1" s="1"/>
  <c r="J326" i="1" a="1"/>
  <c r="J326" i="1" s="1"/>
  <c r="J354" i="1" a="1"/>
  <c r="J354" i="1" s="1"/>
  <c r="J419" i="1" a="1"/>
  <c r="J419" i="1" s="1"/>
  <c r="J444" i="1" a="1"/>
  <c r="J444" i="1" s="1"/>
  <c r="J455" i="1" a="1"/>
  <c r="J455" i="1" s="1"/>
  <c r="J469" i="1" a="1"/>
  <c r="J469" i="1" s="1"/>
  <c r="J480" i="1" a="1"/>
  <c r="J480" i="1" s="1"/>
  <c r="J493" i="1" a="1"/>
  <c r="J493" i="1" s="1"/>
  <c r="J505" i="1" a="1"/>
  <c r="J505" i="1" s="1"/>
  <c r="J519" i="1" a="1"/>
  <c r="J519" i="1" s="1"/>
  <c r="J529" i="1" a="1"/>
  <c r="J529" i="1" s="1"/>
  <c r="J543" i="1" a="1"/>
  <c r="J543" i="1" s="1"/>
  <c r="J553" i="1" a="1"/>
  <c r="J553" i="1" s="1"/>
  <c r="J577" i="1" a="1"/>
  <c r="J577" i="1" s="1"/>
  <c r="J591" i="1" a="1"/>
  <c r="J591" i="1" s="1"/>
  <c r="J602" i="1" a="1"/>
  <c r="J602" i="1" s="1"/>
  <c r="J615" i="1" a="1"/>
  <c r="J615" i="1" s="1"/>
  <c r="J625" i="1" a="1"/>
  <c r="J625" i="1" s="1"/>
  <c r="J635" i="1" a="1"/>
  <c r="J635" i="1" s="1"/>
  <c r="J656" i="1" a="1"/>
  <c r="J656" i="1" s="1"/>
  <c r="J666" i="1" a="1"/>
  <c r="J666" i="1" s="1"/>
  <c r="J677" i="1" a="1"/>
  <c r="J677" i="1" s="1"/>
  <c r="J697" i="1" a="1"/>
  <c r="J697" i="1" s="1"/>
  <c r="J708" i="1" a="1"/>
  <c r="J708" i="1" s="1"/>
  <c r="J726" i="1" a="1"/>
  <c r="J726" i="1" s="1"/>
  <c r="J764" i="1" a="1"/>
  <c r="J764" i="1" s="1"/>
  <c r="J773" i="1" a="1"/>
  <c r="J773" i="1" s="1"/>
  <c r="J781" i="1" a="1"/>
  <c r="J781" i="1" s="1"/>
  <c r="J789" i="1" a="1"/>
  <c r="J789" i="1" s="1"/>
  <c r="J797" i="1" a="1"/>
  <c r="J797" i="1" s="1"/>
  <c r="J805" i="1" a="1"/>
  <c r="J805" i="1" s="1"/>
  <c r="J813" i="1" a="1"/>
  <c r="J813" i="1" s="1"/>
  <c r="J830" i="1" a="1"/>
  <c r="J830" i="1" s="1"/>
  <c r="J854" i="1" a="1"/>
  <c r="J854" i="1" s="1"/>
  <c r="J878" i="1" a="1"/>
  <c r="J878" i="1" s="1"/>
  <c r="J886" i="1" a="1"/>
  <c r="J886" i="1" s="1"/>
  <c r="J893" i="1" a="1"/>
  <c r="J893" i="1" s="1"/>
  <c r="J909" i="1" a="1"/>
  <c r="J909" i="1" s="1"/>
  <c r="J918" i="1" a="1"/>
  <c r="J918" i="1" s="1"/>
  <c r="J934" i="1" a="1"/>
  <c r="J934" i="1" s="1"/>
  <c r="J20" i="1" a="1"/>
  <c r="J20" i="1" s="1"/>
  <c r="J79" i="1" a="1"/>
  <c r="J79" i="1" s="1"/>
  <c r="J114" i="1" a="1"/>
  <c r="J114" i="1" s="1"/>
  <c r="J145" i="1" a="1"/>
  <c r="J145" i="1" s="1"/>
  <c r="J174" i="1" a="1"/>
  <c r="J174" i="1" s="1"/>
  <c r="J248" i="1" a="1"/>
  <c r="J248" i="1" s="1"/>
  <c r="J265" i="1" a="1"/>
  <c r="J265" i="1" s="1"/>
  <c r="J290" i="1" a="1"/>
  <c r="J290" i="1" s="1"/>
  <c r="J343" i="1" a="1"/>
  <c r="J343" i="1" s="1"/>
  <c r="J368" i="1" a="1"/>
  <c r="J368" i="1" s="1"/>
  <c r="J380" i="1" a="1"/>
  <c r="J380" i="1" s="1"/>
  <c r="J394" i="1" a="1"/>
  <c r="J394" i="1" s="1"/>
  <c r="J405" i="1" a="1"/>
  <c r="J405" i="1" s="1"/>
  <c r="J420" i="1" a="1"/>
  <c r="J420" i="1" s="1"/>
  <c r="J431" i="1" a="1"/>
  <c r="J431" i="1" s="1"/>
  <c r="J445" i="1" a="1"/>
  <c r="J445" i="1" s="1"/>
  <c r="J456" i="1" a="1"/>
  <c r="J456" i="1" s="1"/>
  <c r="J481" i="1" a="1"/>
  <c r="J481" i="1" s="1"/>
  <c r="J494" i="1" a="1"/>
  <c r="J494" i="1" s="1"/>
  <c r="J520" i="1" a="1"/>
  <c r="J520" i="1" s="1"/>
  <c r="J530" i="1" a="1"/>
  <c r="J530" i="1" s="1"/>
  <c r="J554" i="1" a="1"/>
  <c r="J554" i="1" s="1"/>
  <c r="J567" i="1" a="1"/>
  <c r="J567" i="1" s="1"/>
  <c r="J578" i="1" a="1"/>
  <c r="J578" i="1" s="1"/>
  <c r="J626" i="1" a="1"/>
  <c r="J626" i="1" s="1"/>
  <c r="J638" i="1" a="1"/>
  <c r="J638" i="1" s="1"/>
  <c r="J647" i="1" a="1"/>
  <c r="J647" i="1" s="1"/>
  <c r="J657" i="1" a="1"/>
  <c r="J657" i="1" s="1"/>
  <c r="J688" i="1" a="1"/>
  <c r="J688" i="1" s="1"/>
  <c r="J700" i="1" a="1"/>
  <c r="J700" i="1" s="1"/>
  <c r="J709" i="1" a="1"/>
  <c r="J709" i="1" s="1"/>
  <c r="J718" i="1" a="1"/>
  <c r="J718" i="1" s="1"/>
  <c r="J736" i="1" a="1"/>
  <c r="J736" i="1" s="1"/>
  <c r="J747" i="1" a="1"/>
  <c r="J747" i="1" s="1"/>
  <c r="J757" i="1" a="1"/>
  <c r="J757" i="1" s="1"/>
  <c r="J782" i="1" a="1"/>
  <c r="J782" i="1" s="1"/>
  <c r="J806" i="1" a="1"/>
  <c r="J806" i="1" s="1"/>
  <c r="J814" i="1" a="1"/>
  <c r="J814" i="1" s="1"/>
  <c r="J821" i="1" a="1"/>
  <c r="J821" i="1" s="1"/>
  <c r="J837" i="1" a="1"/>
  <c r="J837" i="1" s="1"/>
  <c r="J846" i="1" a="1"/>
  <c r="J846" i="1" s="1"/>
  <c r="J862" i="1" a="1"/>
  <c r="J862" i="1" s="1"/>
  <c r="J870" i="1" a="1"/>
  <c r="J870" i="1" s="1"/>
  <c r="J887" i="1" a="1"/>
  <c r="J887" i="1" s="1"/>
  <c r="J903" i="1" a="1"/>
  <c r="J903" i="1" s="1"/>
  <c r="J910" i="1" a="1"/>
  <c r="J910" i="1" s="1"/>
  <c r="J927" i="1" a="1"/>
  <c r="J927" i="1" s="1"/>
  <c r="J949" i="1" a="1"/>
  <c r="J949" i="1" s="1"/>
  <c r="J22" i="1" a="1"/>
  <c r="J22" i="1" s="1"/>
  <c r="J81" i="1" a="1"/>
  <c r="J81" i="1" s="1"/>
  <c r="J116" i="1" a="1"/>
  <c r="J116" i="1" s="1"/>
  <c r="J146" i="1" a="1"/>
  <c r="J146" i="1" s="1"/>
  <c r="J176" i="1" a="1"/>
  <c r="J176" i="1" s="1"/>
  <c r="J233" i="1" a="1"/>
  <c r="J233" i="1" s="1"/>
  <c r="J249" i="1" a="1"/>
  <c r="J249" i="1" s="1"/>
  <c r="J278" i="1" a="1"/>
  <c r="J278" i="1" s="1"/>
  <c r="J301" i="1" a="1"/>
  <c r="J301" i="1" s="1"/>
  <c r="J315" i="1" a="1"/>
  <c r="J315" i="1" s="1"/>
  <c r="J327" i="1" a="1"/>
  <c r="J327" i="1" s="1"/>
  <c r="J355" i="1" a="1"/>
  <c r="J355" i="1" s="1"/>
  <c r="J369" i="1" a="1"/>
  <c r="J369" i="1" s="1"/>
  <c r="J432" i="1" a="1"/>
  <c r="J432" i="1" s="1"/>
  <c r="J446" i="1" a="1"/>
  <c r="J446" i="1" s="1"/>
  <c r="J470" i="1" a="1"/>
  <c r="J470" i="1" s="1"/>
  <c r="J495" i="1" a="1"/>
  <c r="J495" i="1" s="1"/>
  <c r="J506" i="1" a="1"/>
  <c r="J506" i="1" s="1"/>
  <c r="J544" i="1" a="1"/>
  <c r="J544" i="1" s="1"/>
  <c r="J555" i="1" a="1"/>
  <c r="J555" i="1" s="1"/>
  <c r="J568" i="1" a="1"/>
  <c r="J568" i="1" s="1"/>
  <c r="J592" i="1" a="1"/>
  <c r="J592" i="1" s="1"/>
  <c r="J603" i="1" a="1"/>
  <c r="J603" i="1" s="1"/>
  <c r="J616" i="1" a="1"/>
  <c r="J616" i="1" s="1"/>
  <c r="J627" i="1" a="1"/>
  <c r="J627" i="1" s="1"/>
  <c r="J648" i="1" a="1"/>
  <c r="J648" i="1" s="1"/>
  <c r="J658" i="1" a="1"/>
  <c r="J658" i="1" s="1"/>
  <c r="J669" i="1" a="1"/>
  <c r="J669" i="1" s="1"/>
  <c r="J678" i="1" a="1"/>
  <c r="J678" i="1" s="1"/>
  <c r="J710" i="1" a="1"/>
  <c r="J710" i="1" s="1"/>
  <c r="J727" i="1" a="1"/>
  <c r="J727" i="1" s="1"/>
  <c r="J738" i="1" a="1"/>
  <c r="J738" i="1" s="1"/>
  <c r="J758" i="1" a="1"/>
  <c r="J758" i="1" s="1"/>
  <c r="J765" i="1" a="1"/>
  <c r="J765" i="1" s="1"/>
  <c r="J774" i="1" a="1"/>
  <c r="J774" i="1" s="1"/>
  <c r="J790" i="1" a="1"/>
  <c r="J790" i="1" s="1"/>
  <c r="J798" i="1" a="1"/>
  <c r="J798" i="1" s="1"/>
  <c r="J815" i="1" a="1"/>
  <c r="J815" i="1" s="1"/>
  <c r="J831" i="1" a="1"/>
  <c r="J831" i="1" s="1"/>
  <c r="J838" i="1" a="1"/>
  <c r="J838" i="1" s="1"/>
  <c r="J855" i="1" a="1"/>
  <c r="J855" i="1" s="1"/>
  <c r="J879" i="1" a="1"/>
  <c r="J879" i="1" s="1"/>
  <c r="J894" i="1" a="1"/>
  <c r="J894" i="1" s="1"/>
  <c r="J911" i="1" a="1"/>
  <c r="J911" i="1" s="1"/>
  <c r="J919" i="1" a="1"/>
  <c r="J919" i="1" s="1"/>
  <c r="J928" i="1" a="1"/>
  <c r="J928" i="1" s="1"/>
  <c r="J935" i="1" a="1"/>
  <c r="J935" i="1" s="1"/>
  <c r="J34" i="1" a="1"/>
  <c r="J34" i="1" s="1"/>
  <c r="J126" i="1" a="1"/>
  <c r="J126" i="1" s="1"/>
  <c r="J185" i="1" a="1"/>
  <c r="J185" i="1" s="1"/>
  <c r="J216" i="1" a="1"/>
  <c r="J216" i="1" s="1"/>
  <c r="J239" i="1" a="1"/>
  <c r="J239" i="1" s="1"/>
  <c r="J268" i="1" a="1"/>
  <c r="J268" i="1" s="1"/>
  <c r="J293" i="1" a="1"/>
  <c r="J293" i="1" s="1"/>
  <c r="J319" i="1" a="1"/>
  <c r="J319" i="1" s="1"/>
  <c r="J334" i="1" a="1"/>
  <c r="J334" i="1" s="1"/>
  <c r="J347" i="1" a="1"/>
  <c r="J347" i="1" s="1"/>
  <c r="J361" i="1" a="1"/>
  <c r="J361" i="1" s="1"/>
  <c r="J373" i="1" a="1"/>
  <c r="J373" i="1" s="1"/>
  <c r="J397" i="1" a="1"/>
  <c r="J397" i="1" s="1"/>
  <c r="J411" i="1" a="1"/>
  <c r="J411" i="1" s="1"/>
  <c r="J423" i="1" a="1"/>
  <c r="J423" i="1" s="1"/>
  <c r="J437" i="1" a="1"/>
  <c r="J437" i="1" s="1"/>
  <c r="J448" i="1" a="1"/>
  <c r="J448" i="1" s="1"/>
  <c r="J473" i="1" a="1"/>
  <c r="J473" i="1" s="1"/>
  <c r="J487" i="1" a="1"/>
  <c r="J487" i="1" s="1"/>
  <c r="J498" i="1" a="1"/>
  <c r="J498" i="1" s="1"/>
  <c r="J512" i="1" a="1"/>
  <c r="J512" i="1" s="1"/>
  <c r="J535" i="1" a="1"/>
  <c r="J535" i="1" s="1"/>
  <c r="J546" i="1" a="1"/>
  <c r="J546" i="1" s="1"/>
  <c r="J560" i="1" a="1"/>
  <c r="J560" i="1" s="1"/>
  <c r="J584" i="1" a="1"/>
  <c r="J584" i="1" s="1"/>
  <c r="J595" i="1" a="1"/>
  <c r="J595" i="1" s="1"/>
  <c r="J608" i="1" a="1"/>
  <c r="J608" i="1" s="1"/>
  <c r="J618" i="1" a="1"/>
  <c r="J618" i="1" s="1"/>
  <c r="J631" i="1" a="1"/>
  <c r="J631" i="1" s="1"/>
  <c r="J641" i="1" a="1"/>
  <c r="J641" i="1" s="1"/>
  <c r="J672" i="1" a="1"/>
  <c r="J672" i="1" s="1"/>
  <c r="J741" i="1" a="1"/>
  <c r="J741" i="1" s="1"/>
  <c r="J760" i="1" a="1"/>
  <c r="J760" i="1" s="1"/>
  <c r="J769" i="1" a="1"/>
  <c r="J769" i="1" s="1"/>
  <c r="J785" i="1" a="1"/>
  <c r="J785" i="1" s="1"/>
  <c r="J793" i="1" a="1"/>
  <c r="J793" i="1" s="1"/>
  <c r="J801" i="1" a="1"/>
  <c r="J801" i="1" s="1"/>
  <c r="J817" i="1" a="1"/>
  <c r="J817" i="1" s="1"/>
  <c r="J825" i="1" a="1"/>
  <c r="J825" i="1" s="1"/>
  <c r="J833" i="1" a="1"/>
  <c r="J833" i="1" s="1"/>
  <c r="J842" i="1" a="1"/>
  <c r="J842" i="1" s="1"/>
  <c r="J849" i="1" a="1"/>
  <c r="J849" i="1" s="1"/>
  <c r="J866" i="1" a="1"/>
  <c r="J866" i="1" s="1"/>
  <c r="J874" i="1" a="1"/>
  <c r="J874" i="1" s="1"/>
  <c r="J881" i="1" a="1"/>
  <c r="J881" i="1" s="1"/>
  <c r="J1009" i="1" a="1"/>
  <c r="J1009" i="1" s="1"/>
  <c r="J999" i="1" a="1"/>
  <c r="J999" i="1" s="1"/>
  <c r="J991" i="1" a="1"/>
  <c r="J991" i="1" s="1"/>
  <c r="J966" i="1" a="1"/>
  <c r="J966" i="1" s="1"/>
  <c r="J950" i="1" a="1"/>
  <c r="J950" i="1" s="1"/>
  <c r="J929" i="1" a="1"/>
  <c r="J929" i="1" s="1"/>
  <c r="J915" i="1" a="1"/>
  <c r="J915" i="1" s="1"/>
  <c r="J898" i="1" a="1"/>
  <c r="J898" i="1" s="1"/>
  <c r="J863" i="1" a="1"/>
  <c r="J863" i="1" s="1"/>
  <c r="J841" i="1" a="1"/>
  <c r="J841" i="1" s="1"/>
  <c r="J792" i="1" a="1"/>
  <c r="J792" i="1" s="1"/>
  <c r="J768" i="1" a="1"/>
  <c r="J768" i="1" s="1"/>
  <c r="J740" i="1" a="1"/>
  <c r="J740" i="1" s="1"/>
  <c r="J712" i="1" a="1"/>
  <c r="J712" i="1" s="1"/>
  <c r="J681" i="1" a="1"/>
  <c r="J681" i="1" s="1"/>
  <c r="J650" i="1" a="1"/>
  <c r="J650" i="1" s="1"/>
  <c r="J583" i="1" a="1"/>
  <c r="J583" i="1" s="1"/>
  <c r="J511" i="1" a="1"/>
  <c r="J511" i="1" s="1"/>
  <c r="J436" i="1" a="1"/>
  <c r="J436" i="1" s="1"/>
  <c r="J360" i="1" a="1"/>
  <c r="J360" i="1" s="1"/>
  <c r="J318" i="1" a="1"/>
  <c r="J318" i="1" s="1"/>
  <c r="J283" i="1" a="1"/>
  <c r="J283" i="1" s="1"/>
  <c r="J238" i="1" a="1"/>
  <c r="J238" i="1" s="1"/>
  <c r="J155" i="1" a="1"/>
  <c r="J155" i="1" s="1"/>
  <c r="J962" i="1" a="1"/>
  <c r="J962" i="1" s="1"/>
  <c r="J807" i="1" a="1"/>
  <c r="J807" i="1" s="1"/>
  <c r="J531" i="1" a="1"/>
  <c r="J531" i="1" s="1"/>
  <c r="J266" i="1" a="1"/>
  <c r="J266" i="1" s="1"/>
  <c r="J954" i="1" a="1"/>
  <c r="J954" i="1" s="1"/>
  <c r="J777" i="1" a="1"/>
  <c r="J777" i="1" s="1"/>
  <c r="J596" i="1" a="1"/>
  <c r="J596" i="1" s="1"/>
  <c r="J1018" i="1" a="1"/>
  <c r="J1018" i="1" s="1"/>
  <c r="J983" i="1" a="1"/>
  <c r="J983" i="1" s="1"/>
  <c r="J957" i="1" a="1"/>
  <c r="J957" i="1" s="1"/>
  <c r="J941" i="1" a="1"/>
  <c r="J941" i="1" s="1"/>
  <c r="J914" i="1" a="1"/>
  <c r="J914" i="1" s="1"/>
  <c r="J897" i="1" a="1"/>
  <c r="J897" i="1" s="1"/>
  <c r="J880" i="1" a="1"/>
  <c r="J880" i="1" s="1"/>
  <c r="J861" i="1" a="1"/>
  <c r="J861" i="1" s="1"/>
  <c r="J840" i="1" a="1"/>
  <c r="J840" i="1" s="1"/>
  <c r="J816" i="1" a="1"/>
  <c r="J816" i="1" s="1"/>
  <c r="J791" i="1" a="1"/>
  <c r="J791" i="1" s="1"/>
  <c r="J767" i="1" a="1"/>
  <c r="J767" i="1" s="1"/>
  <c r="J739" i="1" a="1"/>
  <c r="J739" i="1" s="1"/>
  <c r="J711" i="1" a="1"/>
  <c r="J711" i="1" s="1"/>
  <c r="J680" i="1" a="1"/>
  <c r="J680" i="1" s="1"/>
  <c r="J649" i="1" a="1"/>
  <c r="J649" i="1" s="1"/>
  <c r="J617" i="1" a="1"/>
  <c r="J617" i="1" s="1"/>
  <c r="J545" i="1" a="1"/>
  <c r="J545" i="1" s="1"/>
  <c r="J472" i="1" a="1"/>
  <c r="J472" i="1" s="1"/>
  <c r="J396" i="1" a="1"/>
  <c r="J396" i="1" s="1"/>
  <c r="J359" i="1" a="1"/>
  <c r="J359" i="1" s="1"/>
  <c r="J317" i="1" a="1"/>
  <c r="J317" i="1" s="1"/>
  <c r="J236" i="1" a="1"/>
  <c r="J236" i="1" s="1"/>
  <c r="J150" i="1" a="1"/>
  <c r="J150" i="1" s="1"/>
  <c r="J31" i="1" a="1"/>
  <c r="J31" i="1" s="1"/>
  <c r="J422" i="1" a="1"/>
  <c r="J422" i="1" s="1"/>
  <c r="J945" i="1" a="1"/>
  <c r="J945" i="1" s="1"/>
  <c r="J783" i="1" a="1"/>
  <c r="J783" i="1" s="1"/>
  <c r="J569" i="1" a="1"/>
  <c r="J569" i="1" s="1"/>
  <c r="J970" i="1" a="1"/>
  <c r="J970" i="1" s="1"/>
  <c r="J750" i="1" a="1"/>
  <c r="J750" i="1" s="1"/>
  <c r="J1008" i="1" a="1"/>
  <c r="J1008" i="1" s="1"/>
  <c r="J974" i="1" a="1"/>
  <c r="J974" i="1" s="1"/>
  <c r="J1017" i="1" a="1"/>
  <c r="J1017" i="1" s="1"/>
  <c r="J998" i="1" a="1"/>
  <c r="J998" i="1" s="1"/>
  <c r="J990" i="1" a="1"/>
  <c r="J990" i="1" s="1"/>
  <c r="J982" i="1" a="1"/>
  <c r="J982" i="1" s="1"/>
  <c r="J973" i="1" a="1"/>
  <c r="J973" i="1" s="1"/>
  <c r="J965" i="1" a="1"/>
  <c r="J965" i="1" s="1"/>
  <c r="J939" i="1" a="1"/>
  <c r="J939" i="1" s="1"/>
  <c r="J926" i="1" a="1"/>
  <c r="J926" i="1" s="1"/>
  <c r="J913" i="1" a="1"/>
  <c r="J913" i="1" s="1"/>
  <c r="J896" i="1" a="1"/>
  <c r="J896" i="1" s="1"/>
  <c r="J858" i="1" a="1"/>
  <c r="J858" i="1" s="1"/>
  <c r="J839" i="1" a="1"/>
  <c r="J839" i="1" s="1"/>
  <c r="J766" i="1" a="1"/>
  <c r="J766" i="1" s="1"/>
  <c r="J679" i="1" a="1"/>
  <c r="J679" i="1" s="1"/>
  <c r="J579" i="1" a="1"/>
  <c r="J579" i="1" s="1"/>
  <c r="J471" i="1" a="1"/>
  <c r="J471" i="1" s="1"/>
  <c r="J433" i="1" a="1"/>
  <c r="J433" i="1" s="1"/>
  <c r="J395" i="1" a="1"/>
  <c r="J395" i="1" s="1"/>
  <c r="J356" i="1" a="1"/>
  <c r="J356" i="1" s="1"/>
  <c r="J316" i="1" a="1"/>
  <c r="J316" i="1" s="1"/>
  <c r="J235" i="1" a="1"/>
  <c r="J235" i="1" s="1"/>
  <c r="J149" i="1" a="1"/>
  <c r="J149" i="1" s="1"/>
  <c r="J26" i="1" a="1"/>
  <c r="J2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<sst xmlns="http://schemas.openxmlformats.org/spreadsheetml/2006/main" count="820" uniqueCount="172">
  <si>
    <t>Customer Name</t>
  </si>
  <si>
    <t>Priority</t>
  </si>
  <si>
    <t>Customer Segment</t>
  </si>
  <si>
    <t>Technologies</t>
  </si>
  <si>
    <t>Existing Services</t>
  </si>
  <si>
    <t>Approximate Deal Size</t>
  </si>
  <si>
    <t>Customer Network Access</t>
  </si>
  <si>
    <t>Start Date</t>
  </si>
  <si>
    <t>Implementation Team</t>
  </si>
  <si>
    <t>NaC Score</t>
  </si>
  <si>
    <t>Architecture CDA/CE</t>
  </si>
  <si>
    <t>Theater CDA</t>
  </si>
  <si>
    <t>Next Steps</t>
  </si>
  <si>
    <t>Status / Comments</t>
  </si>
  <si>
    <t>Headwinds</t>
  </si>
  <si>
    <t>Client ready for as code</t>
  </si>
  <si>
    <t>Autozone</t>
  </si>
  <si>
    <t>None</t>
  </si>
  <si>
    <t>GES-Central</t>
  </si>
  <si>
    <t>SD-WAN</t>
  </si>
  <si>
    <t>PDI</t>
  </si>
  <si>
    <t>$100,000-$500,000</t>
  </si>
  <si>
    <t>Yes</t>
  </si>
  <si>
    <t>1 Month</t>
  </si>
  <si>
    <t>Migration</t>
  </si>
  <si>
    <t>Amod Augustin</t>
  </si>
  <si>
    <t>Bank of America</t>
  </si>
  <si>
    <t>High</t>
  </si>
  <si>
    <t>GES-Premier</t>
  </si>
  <si>
    <t>BCS/LCS</t>
  </si>
  <si>
    <t>&gt;$1M</t>
  </si>
  <si>
    <t>3 Months</t>
  </si>
  <si>
    <t>Lei Tian</t>
  </si>
  <si>
    <t>Cigna</t>
  </si>
  <si>
    <t>Low</t>
  </si>
  <si>
    <t>GES-East</t>
  </si>
  <si>
    <t>No</t>
  </si>
  <si>
    <t>6 Months</t>
  </si>
  <si>
    <t>Customer</t>
  </si>
  <si>
    <t>Cat-C/SDA</t>
  </si>
  <si>
    <t>ACI</t>
  </si>
  <si>
    <t>Costco</t>
  </si>
  <si>
    <t>GES-West</t>
  </si>
  <si>
    <t>Theater</t>
  </si>
  <si>
    <t>Sinan Asig, Derek Chu,Nikolai Vollmer</t>
  </si>
  <si>
    <t>SDWANasCode demos completed, customer interest in there. Next steps are discovery workshop for APAC region as-code MRF deployment.</t>
  </si>
  <si>
    <t>CVS Pharmacy</t>
  </si>
  <si>
    <t>CMS</t>
  </si>
  <si>
    <t>Identify New</t>
  </si>
  <si>
    <t>Meraki</t>
  </si>
  <si>
    <t>Lee Sudduth (new)</t>
  </si>
  <si>
    <t>CVS Pharmacy - TLM</t>
  </si>
  <si>
    <t>Karthik Prabanahdhan</t>
  </si>
  <si>
    <t>DELTA</t>
  </si>
  <si>
    <t>$500,000-$1M</t>
  </si>
  <si>
    <t>Oliver Jancevski, Zulfi Anees</t>
  </si>
  <si>
    <t>Vikas Bhadola</t>
  </si>
  <si>
    <t>DTCC</t>
  </si>
  <si>
    <t>NDFC</t>
  </si>
  <si>
    <t>Matt Horn</t>
  </si>
  <si>
    <t>Nikolai Vollmer</t>
  </si>
  <si>
    <t>Fannie Mae</t>
  </si>
  <si>
    <t>SME/SAS</t>
  </si>
  <si>
    <t>ISE</t>
  </si>
  <si>
    <t>Ramcharan Arya</t>
  </si>
  <si>
    <t>Fidelity</t>
  </si>
  <si>
    <t>FISERV</t>
  </si>
  <si>
    <t>Rinku Mahecha</t>
  </si>
  <si>
    <t>Rowena Sequeira</t>
  </si>
  <si>
    <t>Tim Blanchard</t>
  </si>
  <si>
    <t>Ford</t>
  </si>
  <si>
    <t>Matthew Cobb</t>
  </si>
  <si>
    <t>GlobalFoundries</t>
  </si>
  <si>
    <t>Liberty Mutual</t>
  </si>
  <si>
    <t>Marshfield</t>
  </si>
  <si>
    <t>Partner</t>
  </si>
  <si>
    <t>Stuart Higgins/David Nolasco</t>
  </si>
  <si>
    <t>Stuart Higgins/Dean Delany</t>
  </si>
  <si>
    <t>IOS-XE</t>
  </si>
  <si>
    <t>Stuart Higgins/Anupam Dey</t>
  </si>
  <si>
    <t>Merck</t>
  </si>
  <si>
    <t>Jeff Phillips, Zahir Shivji</t>
  </si>
  <si>
    <t>Saurabh Sharma</t>
  </si>
  <si>
    <t>MetLife</t>
  </si>
  <si>
    <t>MGB</t>
  </si>
  <si>
    <t>Clark Dyson</t>
  </si>
  <si>
    <t>Dave Lucas</t>
  </si>
  <si>
    <t>Thomas Dunteman</t>
  </si>
  <si>
    <t>Dave Lucas / Khurram Masood</t>
  </si>
  <si>
    <t>NFCU</t>
  </si>
  <si>
    <t>James Dawkins</t>
  </si>
  <si>
    <t>NYCHHC</t>
  </si>
  <si>
    <t>Utkarsh Mahar</t>
  </si>
  <si>
    <t>FMC</t>
  </si>
  <si>
    <t>Pfizer</t>
  </si>
  <si>
    <t>Ramcharan Arya, James Dawkins</t>
  </si>
  <si>
    <t>PNC Bank</t>
  </si>
  <si>
    <t>2 Month</t>
  </si>
  <si>
    <t>Sanford Health</t>
  </si>
  <si>
    <t>Anupam Dey, Aslam Mohammad</t>
  </si>
  <si>
    <t>Pranav Patel, Jagadesh Nagaraj</t>
  </si>
  <si>
    <t>SMBC</t>
  </si>
  <si>
    <t>Takeda</t>
  </si>
  <si>
    <t>Sultan Ahmad</t>
  </si>
  <si>
    <t>The Home Depot</t>
  </si>
  <si>
    <t>&lt;$100,000</t>
  </si>
  <si>
    <t>Matt Coy, Jeff Hill, Syed Hasan</t>
  </si>
  <si>
    <t>UMMS</t>
  </si>
  <si>
    <t>9 Months</t>
  </si>
  <si>
    <t>MGM</t>
  </si>
  <si>
    <t>Demo to customer in Jan 2026</t>
  </si>
  <si>
    <t>SaaC deployed in lab enviroment and in testing. CX is recommending using it for Patch10 upgrade</t>
  </si>
  <si>
    <t>Humana</t>
  </si>
  <si>
    <t>State Street</t>
  </si>
  <si>
    <t>Jim Phillipo</t>
  </si>
  <si>
    <t>Truist</t>
  </si>
  <si>
    <t>IBM</t>
  </si>
  <si>
    <t>IOS-XR</t>
  </si>
  <si>
    <t>NX-OS</t>
  </si>
  <si>
    <t>Nationwide</t>
  </si>
  <si>
    <t>• 1.12.26 - SB "Nationwide: they will be going to 17.15 with a plan for UX2.0.  In addition, the primary engineer at NW has interest in As Code since they already use IaC for ACI, so we will be having discussions and evaluating the feasibility for SDWAN as Code.
• 1.26.26 - SB "Nationwide: Based on feedback from NW management and their success with IaC for ACI, it looks promising that we will have a SDWAN as code migration.  There is an internal call scheduled next week with myself and the account/delivery team to discuss the opportunity.
• 2.2.26 - SB "had the internal meeting to discus NaC at NW. The account team plans on drafting up a quote for SDWAN services as code. In the meantime I will continue to engage with NW presenting the benefits of NaC and possibly a demo"</t>
  </si>
  <si>
    <t>Carrier</t>
  </si>
  <si>
    <t>• 2.16.26 - AS "Carrier – “SDWAN as Code” internal discussion. Align internally on SDWAN-as-Code approach and prepare proposal options for Carrier.
 • Identified 3 possible offerings/approaches.
 • Antonio (PM) to help schedule internal review with Cisco architect before presenting to customer.
 • Internal SME sync scheduled Fri 2/13 (11:30–12:15).
Update:
Participated in the internal sync on Feb 11 to align on the SD-WAN as Code strategy for Carrier. Focused on preparing for customer inquiries regarding benefits and the learning curve. We are collaborating with Raul Gomez to leverage EMEA success stories and identify training boot camps to support this initiative. PM Daniel Reyes Moran will ensure that the team is prepared to present the new solution during the upcoming QBR (TBD).</t>
  </si>
  <si>
    <t>Amex</t>
  </si>
  <si>
    <t>CommonSpirit Health</t>
  </si>
  <si>
    <t>Limited engagement helping them implement ACI-as-Code.  Goal is to get a funded engagmenet with them long-term</t>
  </si>
  <si>
    <t>Leveraging LCS engagement to move sites from one vManage domain to another.</t>
  </si>
  <si>
    <t>SalesForce</t>
  </si>
  <si>
    <t>Positioning ISE as code for on-prem to cloud.  Moving away from VMWARE to AWS/Azure</t>
  </si>
  <si>
    <t>Targeting Workshop with CXTM to discuss capabilities and understand their requirements</t>
  </si>
  <si>
    <t>Schwab</t>
  </si>
  <si>
    <t xml:space="preserve">we are using it for code upgrade process and pre and post checks. </t>
  </si>
  <si>
    <t>Pepsi</t>
  </si>
  <si>
    <t>In Discussions on SaC</t>
  </si>
  <si>
    <t>Southern Cal Edison</t>
  </si>
  <si>
    <t>Early discussions on evaluating as-Code for Cat Center.  Not an SDA shop</t>
  </si>
  <si>
    <t>Exepdia</t>
  </si>
  <si>
    <t>Customer interested in doing NaC themselves.  CX providing info, but no active pursuit at this time</t>
  </si>
  <si>
    <t>cust_segment</t>
  </si>
  <si>
    <t>tech</t>
  </si>
  <si>
    <t>ext_svc</t>
  </si>
  <si>
    <t>deal_size</t>
  </si>
  <si>
    <t>net_access</t>
  </si>
  <si>
    <t>start_date</t>
  </si>
  <si>
    <t>impl_team</t>
  </si>
  <si>
    <t>priority</t>
  </si>
  <si>
    <t>category</t>
  </si>
  <si>
    <t>value</t>
  </si>
  <si>
    <t>score</t>
  </si>
  <si>
    <t>Other</t>
  </si>
  <si>
    <t>Partner-Led</t>
  </si>
  <si>
    <t>1 Year</t>
  </si>
  <si>
    <t>Multiple</t>
  </si>
  <si>
    <t>NaC Parity Complete</t>
  </si>
  <si>
    <t>NaC Parity %</t>
  </si>
  <si>
    <t>Natambu Obleton</t>
  </si>
  <si>
    <t>NaC Parity Comments</t>
  </si>
  <si>
    <t>Stewart Tan</t>
  </si>
  <si>
    <t>Theater CDA Leader</t>
  </si>
  <si>
    <t>3M</t>
  </si>
  <si>
    <t>No controller access</t>
  </si>
  <si>
    <t>AAFES</t>
  </si>
  <si>
    <t>Abbvie</t>
  </si>
  <si>
    <t>ADP</t>
  </si>
  <si>
    <t>NaC Parity Reviewer</t>
  </si>
  <si>
    <t>Birch Hansen</t>
  </si>
  <si>
    <t>Abe Basurto</t>
  </si>
  <si>
    <t>Freddy Morales</t>
  </si>
  <si>
    <t>Alex Guckin</t>
  </si>
  <si>
    <t>Alcon</t>
  </si>
  <si>
    <t>Amna Ali</t>
  </si>
  <si>
    <t>Ameriprise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</si>
</sst>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2"/>
      <color theme="1"/>
      <name val="CiscoSansTTLight"/>
      <family val="2"/>
    </font>
    <font>
      <b/>
      <sz val="12"/>
      <color theme="0"/>
      <name val="CiscoSansTT"/>
      <family val="2"/>
    </font>
    <font>
      <sz val="8"/>
      <name val="CiscoSansTTLight"/>
      <family val="2"/>
    </font>
    <font>
      <sz val="12"/>
      <name val="CiscoSansTTLight"/>
      <family val="2"/>
    </font>
    <font>
      <sz val="12"/>
      <color rgb="FFFF0000"/>
      <name val="CiscoSansTTLight"/>
    </font>
    <font>
      <sz val="12"/>
      <color rgb="FFFF0000"/>
      <name val="CiscoSansTTLight"/>
      <family val="2"/>
    </font>
    <font>
      <sz val="12"/>
      <color theme="1"/>
      <name val="CiscoSansTT Light"/>
      <family val="2"/>
    </font>
    <font>
      <sz val="12"/>
      <color theme="1"/>
      <name val="CiscoSansTTLight"/>
      <family val="2"/>
    </font>
  </fonts>
  <fills count="5">
    <fill>
      <patternFill patternType="none"/>
    </fill>
    <fill>
      <patternFill patternType="gray125"/>
    </fill>
    <fill>
      <patternFill patternType="solid">
        <fgColor theme="7"/>
        <bgColor indexed="64"/>
      </patternFill>
    </fill>
    <fill>
      <patternFill patternType="solid">
        <fgColor rgb="FF002060"/>
        <bgColor indexed="64"/>
      </patternFill>
    </fill>
    <fill>
      <patternFill patternType="solid">
        <fgColor rgb="FFFFFF00"/>
        <bgColor indexed="64"/>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17">
    <xf numFmtId="0" fontId="0" fillId="0" borderId="0" xfId="0"/>
    <xf numFmtId="0" fontId="0" fillId="0" borderId="0" xfId="0" applyAlignment="1">
      <alignment horizontal="center" vertical="center" wrapText="1"/>
    </xf>
    <xf numFmtId="0" fontId="1" fillId="2" borderId="0" xfId="0" applyFont="1" applyFill="1" applyAlignment="1">
      <alignment horizontal="center" vertical="center" wrapText="1"/>
    </xf>
    <xf numFmtId="1" fontId="0" fillId="0" borderId="0" xfId="0" applyNumberFormat="1"/>
    <xf numFmtId="164" fontId="1" fillId="3" borderId="0" xfId="0" applyNumberFormat="1" applyFont="1" applyFill="1" applyAlignment="1">
      <alignment horizontal="center" vertical="center" wrapText="1"/>
    </xf>
    <xf numFmtId="164" fontId="0" fillId="0" borderId="0" xfId="0" applyNumberFormat="1" applyAlignment="1">
      <alignment horizontal="center"/>
    </xf>
    <xf numFmtId="0" fontId="3" fillId="0" borderId="0" xfId="0" applyFont="1"/>
    <xf numFmtId="0" fontId="3" fillId="0" borderId="0" xfId="0" applyFont="1" applyAlignment="1">
      <alignment horizontal="center"/>
    </xf>
    <xf numFmtId="0" fontId="0" fillId="4" borderId="0" xfId="0" applyFill="1"/>
    <xf numFmtId="0" fontId="4" fillId="0" borderId="0" xfId="0" applyFont="1"/>
    <xf numFmtId="0" fontId="5" fillId="0" borderId="0" xfId="0" applyFont="1"/>
    <xf numFmtId="0" fontId="0" fillId="0" borderId="0" xfId="0" applyAlignment="1">
      <alignment wrapText="1"/>
    </xf>
    <xf numFmtId="0" fontId="6" fillId="0" borderId="0" xfId="0" applyFont="1"/>
    <xf numFmtId="9" fontId="1" fillId="2" borderId="0" xfId="1" applyFont="1" applyFill="1" applyAlignment="1">
      <alignment horizontal="center" vertical="center" wrapText="1"/>
    </xf>
    <xf numFmtId="9" fontId="0" fillId="0" borderId="0" xfId="1" applyFont="1"/>
    <xf numFmtId="9" fontId="0" fillId="4" borderId="0" xfId="1" applyFont="1" applyFill="1"/>
    <xf numFmtId="49" fontId="0" fillId="0" borderId="0" xfId="0" applyNumberFormat="1"/>
  </cellXfs>
  <cellStyles count="2">
    <cellStyle name="Normal" xfId="0" builtinId="0"/>
    <cellStyle name="Percent" xfId="1" builtinId="5"/>
  </cellStyles>
  <dxfs count="7">
    <dxf>
      <font>
        <color theme="0"/>
      </font>
      <fill>
        <patternFill>
          <bgColor theme="6"/>
        </patternFill>
      </fill>
    </dxf>
    <dxf>
      <font>
        <color theme="0"/>
      </font>
      <fill>
        <patternFill>
          <bgColor rgb="FFFF0000"/>
        </patternFill>
      </fill>
    </dxf>
    <dxf>
      <numFmt numFmtId="1" formatCode="0"/>
    </dxf>
    <dxf>
      <font>
        <b/>
        <i val="0"/>
        <strike val="0"/>
        <condense val="0"/>
        <extend val="0"/>
        <outline val="0"/>
        <shadow val="0"/>
        <u val="none"/>
        <vertAlign val="baseline"/>
        <sz val="12"/>
        <color theme="0"/>
        <name val="CiscoSansTT"/>
        <family val="2"/>
        <scheme val="none"/>
      </font>
      <fill>
        <patternFill patternType="solid">
          <fgColor indexed="64"/>
          <bgColor theme="7"/>
        </patternFill>
      </fill>
      <alignment horizontal="center" vertical="center" textRotation="0" wrapText="1" indent="0" justifyLastLine="0" shrinkToFit="0" readingOrder="0"/>
    </dxf>
    <dxf>
      <numFmt numFmtId="164" formatCode="0.0"/>
      <alignment horizontal="center" textRotation="0" indent="0" justifyLastLine="0" shrinkToFit="0" readingOrder="0"/>
    </dxf>
    <dxf>
      <font>
        <strike val="0"/>
        <outline val="0"/>
        <shadow val="0"/>
        <u val="none"/>
        <vertAlign val="baseline"/>
        <sz val="12"/>
        <color auto="1"/>
        <name val="CiscoSansTTLight"/>
        <family val="2"/>
        <scheme val="none"/>
      </font>
      <alignment horizontal="center" textRotation="0" indent="0" justifyLastLine="0" shrinkToFit="0" readingOrder="0"/>
    </dxf>
    <dxf>
      <font>
        <b/>
        <i val="0"/>
        <strike val="0"/>
        <condense val="0"/>
        <extend val="0"/>
        <outline val="0"/>
        <shadow val="0"/>
        <u val="none"/>
        <vertAlign val="baseline"/>
        <sz val="12"/>
        <color theme="0"/>
        <name val="CiscoSansTT"/>
        <family val="2"/>
        <scheme val="none"/>
      </font>
      <fill>
        <patternFill patternType="solid">
          <fgColor indexed="64"/>
          <bgColor theme="7"/>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2CD8B0-602E-9F4A-8BB2-4280391DB670}" name="MainTable" displayName="MainTable" ref="A1:U1028" totalsRowShown="0" headerRowDxfId="6">
  <autoFilter ref="A1:U1028" xr:uid="{BE2CD8B0-602E-9F4A-8BB2-4280391DB670}"/>
  <sortState xmlns:xlrd2="http://schemas.microsoft.com/office/spreadsheetml/2017/richdata2" ref="A2:R1018">
    <sortCondition ref="A1:A1018"/>
  </sortState>
  <tableColumns count="21">
    <tableColumn id="1" xr3:uid="{83A27EC5-69CA-714A-ABF1-BF2AAC4A97A9}" name="Customer Name"/>
    <tableColumn id="11" xr3:uid="{E5A4A1CC-C2A2-EB41-8EE7-66C81F7A98B8}" name="Priority" dataDxfId="5"/>
    <tableColumn id="2" xr3:uid="{5B4DCE6C-F1FE-A249-9332-A890C780C3CD}" name="Customer Segment"/>
    <tableColumn id="3" xr3:uid="{3575DAF3-2B05-AB48-988D-6AF54E6D5857}" name="Technologies"/>
    <tableColumn id="4" xr3:uid="{12A5081B-6B09-7B49-B187-12B3952487AB}" name="Existing Services"/>
    <tableColumn id="5" xr3:uid="{F67770B9-800C-624F-BB99-93A5C6E26012}" name="Approximate Deal Size"/>
    <tableColumn id="6" xr3:uid="{57EFD13F-6C60-5549-8762-27B0B19499AE}" name="Customer Network Access"/>
    <tableColumn id="7" xr3:uid="{A581EE7A-4863-5F49-A575-C721E4C86A67}" name="Start Date"/>
    <tableColumn id="8" xr3:uid="{89323391-CBAC-804E-B1FE-44C1CAD9E7C1}" name="Implementation Team"/>
    <tableColumn id="10" xr3:uid="{598B134D-1828-F848-95E6-C7F44B8349EF}" name="NaC Score" dataDxfId="4">
      <calculatedColumnFormula array="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calculatedColumnFormula>
    </tableColumn>
    <tableColumn id="9" xr3:uid="{A39E9239-845E-934C-B27E-37E044757A4D}" name="Architecture CDA/CE"/>
    <tableColumn id="13" xr3:uid="{95A6FDC8-7E39-9146-B8EE-41B7430A84C2}" name="Theater CDA"/>
    <tableColumn id="20" xr3:uid="{04F0D69A-97DD-6B4D-ACAF-175AA99A5F0F}" name="Theater CDA Leader"/>
    <tableColumn id="21" xr3:uid="{CD1241F7-587E-7143-A0E5-02CF31057B71}" name="NaC Parity Reviewer"/>
    <tableColumn id="17" xr3:uid="{98BBABB6-F2E0-B942-98B7-2F426166AA4E}" name="NaC Parity Complete"/>
    <tableColumn id="19" xr3:uid="{6CC85D33-E98F-1C4F-945B-40D826EF541B}" name="NaC Parity Comments"/>
    <tableColumn id="18" xr3:uid="{ED97BA84-A218-064E-B7F6-B6F682127B8A}" name="NaC Parity %" dataCellStyle="Percent"/>
    <tableColumn id="12" xr3:uid="{D5EDE2F3-E8A9-4BA1-9D86-4FE89722D2C3}" name="Next Steps"/>
    <tableColumn id="16" xr3:uid="{822041DF-793F-4943-807E-DF5E492FC24D}" name="Status / Comments"/>
    <tableColumn id="14" xr3:uid="{133FE03A-BE3A-4E71-AF96-85903A661386}" name="Headwinds"/>
    <tableColumn id="15" xr3:uid="{485C7945-A61B-4C66-9E23-69CE912AB81B}" name="Client ready for as 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E57F3D-8C92-F046-A2B6-9340D61A93C7}" name="RefValues" displayName="RefValues" ref="B2:I13" totalsRowShown="0" headerRowDxfId="3">
  <autoFilter ref="B2:I13" xr:uid="{C0E57F3D-8C92-F046-A2B6-9340D61A93C7}"/>
  <tableColumns count="8">
    <tableColumn id="1" xr3:uid="{38103534-A8C1-8046-834B-58EA9254661A}" name="cust_segment"/>
    <tableColumn id="2" xr3:uid="{C35BF9FF-D5CA-9D48-AEBF-6146DF4E1AC4}" name="tech"/>
    <tableColumn id="3" xr3:uid="{0E70E306-BB0A-4A41-B3FF-CC07E8959B52}" name="ext_svc"/>
    <tableColumn id="4" xr3:uid="{0DA06D23-9C9D-284C-B242-511CA3685F32}" name="deal_size"/>
    <tableColumn id="5" xr3:uid="{6459DB09-7BDD-3741-8037-8E77BD06242E}" name="net_access"/>
    <tableColumn id="8" xr3:uid="{14A2916B-005F-424F-BCDD-B64D1571CB58}" name="start_date"/>
    <tableColumn id="7" xr3:uid="{BC27E2CB-7882-4348-8C9C-3ECE32184242}" name="impl_team"/>
    <tableColumn id="6" xr3:uid="{4235ACBB-5FC1-5042-AA5E-0E8C31115E1A}" name="priorit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C24E1E-752F-5349-8190-AAC1247F8820}" name="RefScore" displayName="RefScore" ref="K2:M42" totalsRowShown="0">
  <autoFilter ref="K2:M42" xr:uid="{E8C24E1E-752F-5349-8190-AAC1247F8820}"/>
  <tableColumns count="3">
    <tableColumn id="1" xr3:uid="{C30B7A2F-D692-194F-AB4E-FA34131AB719}" name="category"/>
    <tableColumn id="2" xr3:uid="{8460D00B-22EE-9848-82EF-511D3BC276B5}" name="value"/>
    <tableColumn id="3" xr3:uid="{0B8590AD-EC98-074A-B9A9-C6343D0F77CA}" name="scor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128A-CEBF-BC4B-AB0D-31C7D8F732B4}">
  <dimension ref="A1:U1028"/>
  <sheetViews>
    <sheetView tabSelected="1" zoomScale="130" zoomScaleNormal="130" workbookViewId="0">
      <pane xSplit="4" topLeftCell="L1" activePane="topRight" state="frozen"/>
      <selection activeCell="A2" sqref="A2"/>
      <selection pane="topRight" activeCell="L9" sqref="L9"/>
    </sheetView>
  </sheetViews>
  <sheetFormatPr baseColWidth="10" defaultColWidth="11.5" defaultRowHeight="15" customHeight="1"/>
  <cols>
    <col min="1" max="1" width="22.33203125" customWidth="1"/>
    <col min="2" max="2" width="15.1640625" style="7" customWidth="1"/>
    <col min="3" max="3" width="18.5" customWidth="1"/>
    <col min="4" max="4" width="14" customWidth="1"/>
    <col min="5" max="5" width="16.5" customWidth="1"/>
    <col min="6" max="6" width="20.6640625" customWidth="1"/>
    <col min="7" max="7" width="15.1640625" customWidth="1"/>
    <col min="8" max="8" width="11.6640625" customWidth="1"/>
    <col min="9" max="9" width="15.5" customWidth="1"/>
    <col min="10" max="10" width="10.6640625" style="5" customWidth="1"/>
    <col min="11" max="16" width="31.33203125" customWidth="1"/>
    <col min="17" max="17" width="31.33203125" style="14" customWidth="1"/>
    <col min="18" max="18" width="52.6640625" customWidth="1"/>
    <col min="19" max="19" width="52.6640625" style="11" customWidth="1"/>
    <col min="20" max="20" width="28.83203125" customWidth="1"/>
    <col min="21" max="21" width="20.1640625" customWidth="1"/>
  </cols>
  <sheetData>
    <row r="1" spans="1:21" s="1" customFormat="1" ht="48">
      <c r="A1" s="2" t="s">
        <v>0</v>
      </c>
      <c r="B1" s="2" t="s">
        <v>1</v>
      </c>
      <c r="C1" s="2" t="s">
        <v>2</v>
      </c>
      <c r="D1" s="2" t="s">
        <v>3</v>
      </c>
      <c r="E1" s="2" t="s">
        <v>4</v>
      </c>
      <c r="F1" s="2" t="s">
        <v>5</v>
      </c>
      <c r="G1" s="2" t="s">
        <v>6</v>
      </c>
      <c r="H1" s="2" t="s">
        <v>7</v>
      </c>
      <c r="I1" s="2" t="s">
        <v>8</v>
      </c>
      <c r="J1" s="4" t="s">
        <v>9</v>
      </c>
      <c r="K1" s="2" t="s">
        <v>10</v>
      </c>
      <c r="L1" s="2" t="s">
        <v>11</v>
      </c>
      <c r="M1" s="2" t="s">
        <v>158</v>
      </c>
      <c r="N1" s="2" t="s">
        <v>164</v>
      </c>
      <c r="O1" s="2" t="s">
        <v>153</v>
      </c>
      <c r="P1" s="2" t="s">
        <v>156</v>
      </c>
      <c r="Q1" s="13" t="s">
        <v>154</v>
      </c>
      <c r="R1" s="2" t="s">
        <v>12</v>
      </c>
      <c r="S1" s="2" t="s">
        <v>13</v>
      </c>
      <c r="T1" s="2" t="s">
        <v>14</v>
      </c>
      <c r="U1" s="2" t="s">
        <v>15</v>
      </c>
    </row>
    <row r="2" spans="1:21" ht="16">
      <c r="A2" s="6" t="s">
        <v>159</v>
      </c>
      <c r="B2" s="7" t="s">
        <v>17</v>
      </c>
      <c r="C2" t="s">
        <v>18</v>
      </c>
      <c r="D2" t="s">
        <v>39</v>
      </c>
      <c r="G2" t="s">
        <v>36</v>
      </c>
      <c r="J2" s="5" t="str" cm="1">
        <f t="array" ref="J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2" s="16" t="s">
        <v>165</v>
      </c>
      <c r="O2" t="s">
        <v>36</v>
      </c>
      <c r="P2" t="s">
        <v>160</v>
      </c>
      <c r="Q2" s="14">
        <v>0</v>
      </c>
    </row>
    <row r="3" spans="1:21" ht="16">
      <c r="A3" s="6" t="s">
        <v>161</v>
      </c>
      <c r="B3" s="7" t="s">
        <v>17</v>
      </c>
      <c r="C3" t="s">
        <v>42</v>
      </c>
      <c r="D3" t="s">
        <v>39</v>
      </c>
      <c r="G3" t="s">
        <v>36</v>
      </c>
      <c r="J3" s="5" t="str" cm="1">
        <f t="array" ref="J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3" s="16" t="s">
        <v>166</v>
      </c>
      <c r="O3" t="s">
        <v>36</v>
      </c>
      <c r="P3" t="s">
        <v>160</v>
      </c>
      <c r="Q3" s="14">
        <v>0</v>
      </c>
    </row>
    <row r="4" spans="1:21" ht="16">
      <c r="A4" s="6" t="s">
        <v>162</v>
      </c>
      <c r="B4" s="7" t="s">
        <v>17</v>
      </c>
      <c r="D4" t="s">
        <v>19</v>
      </c>
      <c r="G4" t="s">
        <v>22</v>
      </c>
      <c r="J4" s="5" t="str" cm="1">
        <f t="array" ref="J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4" s="16" t="s">
        <v>167</v>
      </c>
      <c r="O4" t="s">
        <v>22</v>
      </c>
      <c r="Q4" s="14">
        <v>1</v>
      </c>
    </row>
    <row r="5" spans="1:21" ht="16">
      <c r="A5" s="6" t="s">
        <v>163</v>
      </c>
      <c r="B5" s="7" t="s">
        <v>17</v>
      </c>
      <c r="C5" t="s">
        <v>35</v>
      </c>
      <c r="D5" t="s">
        <v>39</v>
      </c>
      <c r="G5" t="s">
        <v>36</v>
      </c>
      <c r="J5" s="5" t="str" cm="1">
        <f t="array" ref="J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5" s="16" t="s">
        <v>168</v>
      </c>
      <c r="O5" t="s">
        <v>36</v>
      </c>
      <c r="P5" t="s">
        <v>160</v>
      </c>
      <c r="Q5" s="14">
        <v>0</v>
      </c>
    </row>
    <row r="6" spans="1:21" ht="16">
      <c r="A6" s="6" t="s">
        <v>169</v>
      </c>
      <c r="B6" s="7" t="s">
        <v>17</v>
      </c>
      <c r="D6" t="s">
        <v>19</v>
      </c>
      <c r="G6" t="s">
        <v>36</v>
      </c>
      <c r="J6" s="5" t="str" cm="1">
        <f t="array" ref="J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6" s="16" t="s">
        <v>170</v>
      </c>
      <c r="O6" t="s">
        <v>36</v>
      </c>
      <c r="P6" t="s">
        <v>160</v>
      </c>
      <c r="Q6" s="14">
        <v>0</v>
      </c>
    </row>
    <row r="7" spans="1:21" ht="16">
      <c r="A7" s="6" t="s">
        <v>171</v>
      </c>
      <c r="B7" s="7" t="s">
        <v>17</v>
      </c>
      <c r="C7" t="s">
        <v>18</v>
      </c>
      <c r="D7" t="s">
        <v>19</v>
      </c>
      <c r="G7" t="s">
        <v>36</v>
      </c>
      <c r="J7" s="5" t="str" cm="1">
        <f t="array" ref="J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7" s="16" t="s">
        <v>165</v>
      </c>
      <c r="O7" t="s">
        <v>36</v>
      </c>
    </row>
    <row r="8" spans="1:21" ht="16">
      <c r="A8" s="6" t="s">
        <v>171</v>
      </c>
      <c r="B8" s="7" t="s">
        <v>17</v>
      </c>
      <c r="C8" t="s">
        <v>18</v>
      </c>
      <c r="D8" t="s">
        <v>39</v>
      </c>
      <c r="G8" t="s">
        <v>36</v>
      </c>
      <c r="J8" s="5" t="str" cm="1">
        <f t="array" ref="J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N8" s="16" t="s">
        <v>165</v>
      </c>
      <c r="O8" t="s">
        <v>36</v>
      </c>
    </row>
    <row r="9" spans="1:21" ht="16">
      <c r="A9" s="6" t="s">
        <v>16</v>
      </c>
      <c r="B9" s="7" t="s">
        <v>17</v>
      </c>
      <c r="C9" t="s">
        <v>18</v>
      </c>
      <c r="D9" t="s">
        <v>19</v>
      </c>
      <c r="E9" t="s">
        <v>20</v>
      </c>
      <c r="F9" t="s">
        <v>21</v>
      </c>
      <c r="G9" t="s">
        <v>22</v>
      </c>
      <c r="H9" t="s">
        <v>23</v>
      </c>
      <c r="I9" t="s">
        <v>24</v>
      </c>
      <c r="J9" s="5" cm="1">
        <f t="array" ref="J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5.4285714285714288</v>
      </c>
      <c r="K9" t="s">
        <v>25</v>
      </c>
      <c r="O9" t="s">
        <v>36</v>
      </c>
    </row>
    <row r="10" spans="1:21" ht="16">
      <c r="A10" t="s">
        <v>26</v>
      </c>
      <c r="B10" s="7" t="s">
        <v>27</v>
      </c>
      <c r="C10" t="s">
        <v>28</v>
      </c>
      <c r="D10" t="s">
        <v>19</v>
      </c>
      <c r="E10" t="s">
        <v>29</v>
      </c>
      <c r="F10" t="s">
        <v>30</v>
      </c>
      <c r="G10" t="s">
        <v>22</v>
      </c>
      <c r="H10" t="s">
        <v>31</v>
      </c>
      <c r="I10" t="s">
        <v>24</v>
      </c>
      <c r="J10" s="5" cm="1">
        <f t="array" ref="J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6.8571428571428568</v>
      </c>
      <c r="K10" t="s">
        <v>32</v>
      </c>
      <c r="O10" t="s">
        <v>36</v>
      </c>
      <c r="S10"/>
    </row>
    <row r="11" spans="1:21" ht="16">
      <c r="A11" t="s">
        <v>33</v>
      </c>
      <c r="B11" s="7" t="s">
        <v>34</v>
      </c>
      <c r="C11" t="s">
        <v>35</v>
      </c>
      <c r="D11" t="s">
        <v>19</v>
      </c>
      <c r="E11" t="s">
        <v>17</v>
      </c>
      <c r="F11" t="s">
        <v>21</v>
      </c>
      <c r="G11" t="s">
        <v>36</v>
      </c>
      <c r="H11" t="s">
        <v>37</v>
      </c>
      <c r="I11" t="s">
        <v>38</v>
      </c>
      <c r="J11" s="5" cm="1">
        <f t="array" ref="J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4.2857142857142856</v>
      </c>
      <c r="S11"/>
    </row>
    <row r="12" spans="1:21" ht="16">
      <c r="A12" t="s">
        <v>33</v>
      </c>
      <c r="B12" s="7" t="s">
        <v>34</v>
      </c>
      <c r="C12" t="s">
        <v>35</v>
      </c>
      <c r="D12" t="s">
        <v>39</v>
      </c>
      <c r="E12" t="s">
        <v>17</v>
      </c>
      <c r="F12" t="s">
        <v>21</v>
      </c>
      <c r="G12" t="s">
        <v>36</v>
      </c>
      <c r="H12" t="s">
        <v>37</v>
      </c>
      <c r="I12" t="s">
        <v>38</v>
      </c>
      <c r="J12" s="5" cm="1">
        <f t="array" ref="J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v>
      </c>
      <c r="S12"/>
    </row>
    <row r="13" spans="1:21" ht="16">
      <c r="A13" t="s">
        <v>33</v>
      </c>
      <c r="B13" s="7" t="s">
        <v>34</v>
      </c>
      <c r="C13" t="s">
        <v>35</v>
      </c>
      <c r="D13" t="s">
        <v>40</v>
      </c>
      <c r="E13" t="s">
        <v>17</v>
      </c>
      <c r="F13" t="s">
        <v>21</v>
      </c>
      <c r="G13" t="s">
        <v>36</v>
      </c>
      <c r="H13" t="s">
        <v>37</v>
      </c>
      <c r="I13" t="s">
        <v>38</v>
      </c>
      <c r="J13" s="5" cm="1">
        <f t="array" ref="J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4.2857142857142856</v>
      </c>
      <c r="S13"/>
    </row>
    <row r="14" spans="1:21" ht="51">
      <c r="A14" t="s">
        <v>41</v>
      </c>
      <c r="B14" s="7" t="s">
        <v>27</v>
      </c>
      <c r="C14" t="s">
        <v>42</v>
      </c>
      <c r="D14" t="s">
        <v>19</v>
      </c>
      <c r="E14" t="s">
        <v>29</v>
      </c>
      <c r="F14" t="s">
        <v>21</v>
      </c>
      <c r="G14" t="s">
        <v>22</v>
      </c>
      <c r="H14" t="s">
        <v>37</v>
      </c>
      <c r="I14" t="s">
        <v>43</v>
      </c>
      <c r="J14" s="5" cm="1">
        <f t="array" ref="J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6.8571428571428568</v>
      </c>
      <c r="K14" t="s">
        <v>44</v>
      </c>
      <c r="L14" t="s">
        <v>155</v>
      </c>
      <c r="M14" t="s">
        <v>157</v>
      </c>
      <c r="S14" s="11" t="s">
        <v>45</v>
      </c>
    </row>
    <row r="15" spans="1:21" ht="16">
      <c r="A15" t="s">
        <v>46</v>
      </c>
      <c r="B15" s="7" t="s">
        <v>27</v>
      </c>
      <c r="C15" t="s">
        <v>28</v>
      </c>
      <c r="D15" t="s">
        <v>19</v>
      </c>
      <c r="E15" t="s">
        <v>29</v>
      </c>
      <c r="F15" t="s">
        <v>30</v>
      </c>
      <c r="G15" t="s">
        <v>22</v>
      </c>
      <c r="H15" t="s">
        <v>31</v>
      </c>
      <c r="I15" t="s">
        <v>47</v>
      </c>
      <c r="J15" s="5" cm="1">
        <f t="array" ref="J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15" s="8" t="s">
        <v>48</v>
      </c>
      <c r="L15" s="8"/>
      <c r="M15" s="8"/>
      <c r="N15" s="8"/>
      <c r="O15" s="8"/>
      <c r="P15" s="8"/>
      <c r="Q15" s="15"/>
      <c r="S15"/>
    </row>
    <row r="16" spans="1:21" ht="16">
      <c r="A16" t="s">
        <v>46</v>
      </c>
      <c r="B16" s="7" t="s">
        <v>27</v>
      </c>
      <c r="C16" t="s">
        <v>28</v>
      </c>
      <c r="D16" t="s">
        <v>49</v>
      </c>
      <c r="E16" t="s">
        <v>29</v>
      </c>
      <c r="F16" t="s">
        <v>30</v>
      </c>
      <c r="G16" t="s">
        <v>22</v>
      </c>
      <c r="H16" t="s">
        <v>31</v>
      </c>
      <c r="I16" t="s">
        <v>47</v>
      </c>
      <c r="J16" s="5" cm="1">
        <f t="array" ref="J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16" s="9" t="s">
        <v>50</v>
      </c>
      <c r="S16"/>
    </row>
    <row r="17" spans="1:19" ht="16">
      <c r="A17" t="s">
        <v>51</v>
      </c>
      <c r="B17" s="7" t="s">
        <v>27</v>
      </c>
      <c r="C17" t="s">
        <v>28</v>
      </c>
      <c r="D17" t="s">
        <v>39</v>
      </c>
      <c r="E17" t="s">
        <v>20</v>
      </c>
      <c r="F17" t="s">
        <v>30</v>
      </c>
      <c r="G17" t="s">
        <v>22</v>
      </c>
      <c r="H17" t="s">
        <v>31</v>
      </c>
      <c r="I17" t="s">
        <v>43</v>
      </c>
      <c r="J17" s="5" cm="1">
        <f t="array" ref="J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6.8571428571428568</v>
      </c>
      <c r="K17" t="s">
        <v>52</v>
      </c>
      <c r="S17"/>
    </row>
    <row r="18" spans="1:19" ht="16">
      <c r="A18" t="s">
        <v>53</v>
      </c>
      <c r="B18" s="7" t="s">
        <v>27</v>
      </c>
      <c r="C18" t="s">
        <v>35</v>
      </c>
      <c r="D18" t="s">
        <v>39</v>
      </c>
      <c r="E18" t="s">
        <v>20</v>
      </c>
      <c r="F18" t="s">
        <v>54</v>
      </c>
      <c r="G18" t="s">
        <v>22</v>
      </c>
      <c r="H18" t="s">
        <v>31</v>
      </c>
      <c r="I18" t="s">
        <v>43</v>
      </c>
      <c r="J18" s="5" cm="1">
        <f t="array" ref="J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18" t="s">
        <v>55</v>
      </c>
      <c r="L18" t="s">
        <v>56</v>
      </c>
      <c r="S18"/>
    </row>
    <row r="19" spans="1:19" ht="16">
      <c r="A19" t="s">
        <v>57</v>
      </c>
      <c r="B19" s="7" t="s">
        <v>27</v>
      </c>
      <c r="C19" t="s">
        <v>35</v>
      </c>
      <c r="D19" t="s">
        <v>58</v>
      </c>
      <c r="E19" t="s">
        <v>29</v>
      </c>
      <c r="F19" t="s">
        <v>21</v>
      </c>
      <c r="G19" t="s">
        <v>36</v>
      </c>
      <c r="H19" t="s">
        <v>37</v>
      </c>
      <c r="I19" t="s">
        <v>38</v>
      </c>
      <c r="J19" s="5" cm="1">
        <f t="array" ref="J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L19" t="s">
        <v>59</v>
      </c>
      <c r="S19"/>
    </row>
    <row r="20" spans="1:19" ht="16">
      <c r="A20" t="s">
        <v>57</v>
      </c>
      <c r="B20" s="7" t="s">
        <v>27</v>
      </c>
      <c r="C20" t="s">
        <v>35</v>
      </c>
      <c r="D20" t="s">
        <v>19</v>
      </c>
      <c r="E20" t="s">
        <v>29</v>
      </c>
      <c r="F20" t="s">
        <v>21</v>
      </c>
      <c r="G20" t="s">
        <v>36</v>
      </c>
      <c r="H20" t="s">
        <v>37</v>
      </c>
      <c r="I20" t="s">
        <v>38</v>
      </c>
      <c r="J20" s="5" cm="1">
        <f t="array" ref="J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K20" t="s">
        <v>60</v>
      </c>
      <c r="L20" t="s">
        <v>59</v>
      </c>
      <c r="S20"/>
    </row>
    <row r="21" spans="1:19" ht="16">
      <c r="A21" t="s">
        <v>61</v>
      </c>
      <c r="B21" s="7" t="s">
        <v>34</v>
      </c>
      <c r="C21" t="s">
        <v>35</v>
      </c>
      <c r="D21" t="s">
        <v>49</v>
      </c>
      <c r="E21" t="s">
        <v>62</v>
      </c>
      <c r="F21" t="s">
        <v>21</v>
      </c>
      <c r="G21" t="s">
        <v>36</v>
      </c>
      <c r="H21" t="s">
        <v>31</v>
      </c>
      <c r="I21" t="s">
        <v>38</v>
      </c>
      <c r="J21" s="5" cm="1">
        <f t="array" ref="J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c r="S21"/>
    </row>
    <row r="22" spans="1:19" ht="16">
      <c r="A22" t="s">
        <v>61</v>
      </c>
      <c r="B22" s="7" t="s">
        <v>34</v>
      </c>
      <c r="C22" t="s">
        <v>35</v>
      </c>
      <c r="D22" t="s">
        <v>40</v>
      </c>
      <c r="E22" t="s">
        <v>62</v>
      </c>
      <c r="F22" t="s">
        <v>21</v>
      </c>
      <c r="G22" t="s">
        <v>36</v>
      </c>
      <c r="H22" t="s">
        <v>31</v>
      </c>
      <c r="I22" t="s">
        <v>38</v>
      </c>
      <c r="J22" s="5" cm="1">
        <f t="array" ref="J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c r="S22"/>
    </row>
    <row r="23" spans="1:19" ht="16">
      <c r="A23" t="s">
        <v>61</v>
      </c>
      <c r="B23" s="7" t="s">
        <v>34</v>
      </c>
      <c r="C23" t="s">
        <v>35</v>
      </c>
      <c r="D23" t="s">
        <v>63</v>
      </c>
      <c r="E23" t="s">
        <v>62</v>
      </c>
      <c r="F23" t="s">
        <v>21</v>
      </c>
      <c r="G23" t="s">
        <v>36</v>
      </c>
      <c r="H23" t="s">
        <v>31</v>
      </c>
      <c r="I23" t="s">
        <v>38</v>
      </c>
      <c r="J23" s="5" cm="1">
        <f t="array" ref="J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3.8571428571428572</v>
      </c>
      <c r="S23"/>
    </row>
    <row r="24" spans="1:19" ht="16">
      <c r="A24" t="s">
        <v>61</v>
      </c>
      <c r="B24" s="7" t="s">
        <v>34</v>
      </c>
      <c r="C24" t="s">
        <v>35</v>
      </c>
      <c r="D24" t="s">
        <v>58</v>
      </c>
      <c r="E24" t="s">
        <v>62</v>
      </c>
      <c r="F24" t="s">
        <v>21</v>
      </c>
      <c r="G24" t="s">
        <v>36</v>
      </c>
      <c r="H24" t="s">
        <v>31</v>
      </c>
      <c r="I24" t="s">
        <v>38</v>
      </c>
      <c r="J24" s="5" cm="1">
        <f t="array" ref="J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c r="S24"/>
    </row>
    <row r="25" spans="1:19" ht="16">
      <c r="A25" t="s">
        <v>61</v>
      </c>
      <c r="B25" s="7" t="s">
        <v>34</v>
      </c>
      <c r="C25" t="s">
        <v>35</v>
      </c>
      <c r="D25" t="s">
        <v>19</v>
      </c>
      <c r="E25" t="s">
        <v>62</v>
      </c>
      <c r="F25" t="s">
        <v>21</v>
      </c>
      <c r="G25" t="s">
        <v>36</v>
      </c>
      <c r="H25" t="s">
        <v>31</v>
      </c>
      <c r="I25" t="s">
        <v>38</v>
      </c>
      <c r="J25" s="5" cm="1">
        <f t="array" ref="J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c r="K25" t="s">
        <v>64</v>
      </c>
      <c r="S25"/>
    </row>
    <row r="26" spans="1:19" ht="16">
      <c r="A26" t="s">
        <v>65</v>
      </c>
      <c r="B26" s="7" t="s">
        <v>34</v>
      </c>
      <c r="C26" t="s">
        <v>35</v>
      </c>
      <c r="D26" t="s">
        <v>39</v>
      </c>
      <c r="E26" t="s">
        <v>20</v>
      </c>
      <c r="F26" t="s">
        <v>54</v>
      </c>
      <c r="G26" t="s">
        <v>22</v>
      </c>
      <c r="H26" t="s">
        <v>23</v>
      </c>
      <c r="I26" t="s">
        <v>43</v>
      </c>
      <c r="J26" s="5" cm="1">
        <f t="array" ref="J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6.7142857142857144</v>
      </c>
      <c r="S26"/>
    </row>
    <row r="27" spans="1:19" ht="16">
      <c r="A27" t="s">
        <v>66</v>
      </c>
      <c r="B27" s="7" t="s">
        <v>34</v>
      </c>
      <c r="C27" t="s">
        <v>35</v>
      </c>
      <c r="D27" t="s">
        <v>40</v>
      </c>
      <c r="E27" t="s">
        <v>29</v>
      </c>
      <c r="F27" t="s">
        <v>54</v>
      </c>
      <c r="G27" t="s">
        <v>22</v>
      </c>
      <c r="H27" t="s">
        <v>31</v>
      </c>
      <c r="I27" t="s">
        <v>43</v>
      </c>
      <c r="J27" s="5" cm="1">
        <f t="array" ref="J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L27" t="s">
        <v>67</v>
      </c>
      <c r="S27"/>
    </row>
    <row r="28" spans="1:19" ht="16">
      <c r="A28" t="s">
        <v>66</v>
      </c>
      <c r="B28" s="7" t="s">
        <v>27</v>
      </c>
      <c r="C28" t="s">
        <v>35</v>
      </c>
      <c r="D28" t="s">
        <v>19</v>
      </c>
      <c r="E28" t="s">
        <v>29</v>
      </c>
      <c r="F28" t="s">
        <v>54</v>
      </c>
      <c r="G28" t="s">
        <v>22</v>
      </c>
      <c r="H28" t="s">
        <v>31</v>
      </c>
      <c r="I28" t="s">
        <v>43</v>
      </c>
      <c r="J28" s="5" cm="1">
        <f t="array" ref="J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K28" t="s">
        <v>68</v>
      </c>
      <c r="L28" t="s">
        <v>67</v>
      </c>
      <c r="S28"/>
    </row>
    <row r="29" spans="1:19" ht="16">
      <c r="A29" t="s">
        <v>66</v>
      </c>
      <c r="B29" s="7" t="s">
        <v>27</v>
      </c>
      <c r="C29" t="s">
        <v>35</v>
      </c>
      <c r="D29" t="s">
        <v>58</v>
      </c>
      <c r="E29" t="s">
        <v>29</v>
      </c>
      <c r="F29" t="s">
        <v>54</v>
      </c>
      <c r="G29" t="s">
        <v>22</v>
      </c>
      <c r="H29" t="s">
        <v>31</v>
      </c>
      <c r="I29" t="s">
        <v>43</v>
      </c>
      <c r="J29" s="5" cm="1">
        <f t="array" ref="J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K29" t="s">
        <v>69</v>
      </c>
      <c r="L29" t="s">
        <v>67</v>
      </c>
      <c r="S29"/>
    </row>
    <row r="30" spans="1:19" ht="16">
      <c r="A30" t="s">
        <v>70</v>
      </c>
      <c r="B30" s="7" t="s">
        <v>34</v>
      </c>
      <c r="C30" t="s">
        <v>28</v>
      </c>
      <c r="D30" t="s">
        <v>39</v>
      </c>
      <c r="E30" t="s">
        <v>29</v>
      </c>
      <c r="F30" t="s">
        <v>21</v>
      </c>
      <c r="G30" t="s">
        <v>22</v>
      </c>
      <c r="H30" t="s">
        <v>37</v>
      </c>
      <c r="I30" t="s">
        <v>38</v>
      </c>
      <c r="J30" s="5" cm="1">
        <f t="array" ref="J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5.7142857142857144</v>
      </c>
      <c r="K30" t="s">
        <v>71</v>
      </c>
      <c r="S30"/>
    </row>
    <row r="31" spans="1:19" ht="16">
      <c r="A31" t="s">
        <v>72</v>
      </c>
      <c r="B31" s="7" t="s">
        <v>34</v>
      </c>
      <c r="C31" t="s">
        <v>35</v>
      </c>
      <c r="D31" t="s">
        <v>19</v>
      </c>
      <c r="E31" t="s">
        <v>29</v>
      </c>
      <c r="F31" t="s">
        <v>21</v>
      </c>
      <c r="G31" t="s">
        <v>36</v>
      </c>
      <c r="H31" t="s">
        <v>31</v>
      </c>
      <c r="I31" t="s">
        <v>43</v>
      </c>
      <c r="J31" s="5" cm="1">
        <f t="array" ref="J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5.8571428571428568</v>
      </c>
      <c r="L31" t="s">
        <v>59</v>
      </c>
      <c r="S31"/>
    </row>
    <row r="32" spans="1:19" ht="16">
      <c r="A32" t="s">
        <v>72</v>
      </c>
      <c r="B32" s="7" t="s">
        <v>34</v>
      </c>
      <c r="C32" t="s">
        <v>35</v>
      </c>
      <c r="D32" t="s">
        <v>39</v>
      </c>
      <c r="E32" t="s">
        <v>29</v>
      </c>
      <c r="F32" t="s">
        <v>21</v>
      </c>
      <c r="G32" t="s">
        <v>36</v>
      </c>
      <c r="H32" t="s">
        <v>31</v>
      </c>
      <c r="I32" t="s">
        <v>43</v>
      </c>
      <c r="J32" s="5" cm="1">
        <f t="array" ref="J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5.5714285714285712</v>
      </c>
      <c r="L32" t="s">
        <v>59</v>
      </c>
      <c r="S32"/>
    </row>
    <row r="33" spans="1:19" ht="16">
      <c r="A33" t="s">
        <v>72</v>
      </c>
      <c r="B33" s="7" t="s">
        <v>34</v>
      </c>
      <c r="C33" t="s">
        <v>35</v>
      </c>
      <c r="D33" t="s">
        <v>63</v>
      </c>
      <c r="E33" t="s">
        <v>29</v>
      </c>
      <c r="F33" t="s">
        <v>21</v>
      </c>
      <c r="G33" t="s">
        <v>36</v>
      </c>
      <c r="H33" t="s">
        <v>31</v>
      </c>
      <c r="I33" t="s">
        <v>43</v>
      </c>
      <c r="J33" s="5" cm="1">
        <f t="array" ref="J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L33" t="s">
        <v>59</v>
      </c>
      <c r="S33"/>
    </row>
    <row r="34" spans="1:19" ht="16">
      <c r="A34" t="s">
        <v>73</v>
      </c>
      <c r="B34" s="7" t="s">
        <v>27</v>
      </c>
      <c r="C34" t="s">
        <v>35</v>
      </c>
      <c r="D34" t="s">
        <v>40</v>
      </c>
      <c r="E34" t="s">
        <v>47</v>
      </c>
      <c r="F34" t="s">
        <v>54</v>
      </c>
      <c r="G34" t="s">
        <v>22</v>
      </c>
      <c r="H34" t="s">
        <v>31</v>
      </c>
      <c r="I34" t="s">
        <v>47</v>
      </c>
      <c r="J34" s="5" cm="1">
        <f t="array" ref="J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7.4285714285714288</v>
      </c>
      <c r="L34" t="s">
        <v>67</v>
      </c>
      <c r="S34"/>
    </row>
    <row r="35" spans="1:19" ht="16">
      <c r="A35" s="10" t="s">
        <v>74</v>
      </c>
      <c r="B35" s="7" t="s">
        <v>27</v>
      </c>
      <c r="C35" t="s">
        <v>18</v>
      </c>
      <c r="D35" t="s">
        <v>19</v>
      </c>
      <c r="E35" t="s">
        <v>20</v>
      </c>
      <c r="F35" t="s">
        <v>21</v>
      </c>
      <c r="G35" t="s">
        <v>22</v>
      </c>
      <c r="H35" t="s">
        <v>31</v>
      </c>
      <c r="I35" t="s">
        <v>75</v>
      </c>
      <c r="J35" s="5" cm="1">
        <f t="array" ref="J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5.4285714285714288</v>
      </c>
      <c r="K35" t="s">
        <v>76</v>
      </c>
      <c r="S35"/>
    </row>
    <row r="36" spans="1:19" ht="16">
      <c r="A36" s="10" t="s">
        <v>74</v>
      </c>
      <c r="B36" s="7" t="s">
        <v>27</v>
      </c>
      <c r="C36" t="s">
        <v>18</v>
      </c>
      <c r="D36" t="s">
        <v>39</v>
      </c>
      <c r="E36" t="s">
        <v>20</v>
      </c>
      <c r="F36" t="s">
        <v>21</v>
      </c>
      <c r="G36" t="s">
        <v>22</v>
      </c>
      <c r="H36" t="s">
        <v>31</v>
      </c>
      <c r="I36" t="s">
        <v>75</v>
      </c>
      <c r="J36" s="5" cm="1">
        <f t="array" ref="J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K36" t="s">
        <v>77</v>
      </c>
      <c r="S36"/>
    </row>
    <row r="37" spans="1:19" ht="16">
      <c r="A37" s="10" t="s">
        <v>74</v>
      </c>
      <c r="B37" s="7" t="s">
        <v>27</v>
      </c>
      <c r="C37" t="s">
        <v>18</v>
      </c>
      <c r="D37" t="s">
        <v>78</v>
      </c>
      <c r="E37" t="s">
        <v>20</v>
      </c>
      <c r="F37" t="s">
        <v>21</v>
      </c>
      <c r="G37" t="s">
        <v>22</v>
      </c>
      <c r="H37" t="s">
        <v>31</v>
      </c>
      <c r="I37" t="s">
        <v>75</v>
      </c>
      <c r="J37" s="5" cm="1">
        <f t="array" ref="J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4.7142857142857144</v>
      </c>
      <c r="K37" t="s">
        <v>79</v>
      </c>
      <c r="S37"/>
    </row>
    <row r="38" spans="1:19" ht="16">
      <c r="A38" t="s">
        <v>80</v>
      </c>
      <c r="B38" s="7" t="s">
        <v>27</v>
      </c>
      <c r="C38" t="s">
        <v>35</v>
      </c>
      <c r="D38" t="s">
        <v>39</v>
      </c>
      <c r="E38" t="s">
        <v>29</v>
      </c>
      <c r="F38" t="s">
        <v>21</v>
      </c>
      <c r="G38" t="s">
        <v>36</v>
      </c>
      <c r="H38" t="s">
        <v>31</v>
      </c>
      <c r="I38" t="s">
        <v>38</v>
      </c>
      <c r="J38" s="5" cm="1">
        <f t="array" ref="J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4.5714285714285712</v>
      </c>
      <c r="K38" t="s">
        <v>81</v>
      </c>
      <c r="L38" t="s">
        <v>82</v>
      </c>
      <c r="S38"/>
    </row>
    <row r="39" spans="1:19" ht="16">
      <c r="A39" t="s">
        <v>80</v>
      </c>
      <c r="B39" s="7" t="s">
        <v>34</v>
      </c>
      <c r="C39" t="s">
        <v>35</v>
      </c>
      <c r="D39" t="s">
        <v>63</v>
      </c>
      <c r="E39" t="s">
        <v>29</v>
      </c>
      <c r="F39" t="s">
        <v>21</v>
      </c>
      <c r="G39" t="s">
        <v>36</v>
      </c>
      <c r="H39" t="s">
        <v>37</v>
      </c>
      <c r="I39" t="s">
        <v>38</v>
      </c>
      <c r="J39" s="5" cm="1">
        <f t="array" ref="J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4.4285714285714288</v>
      </c>
      <c r="L39" t="s">
        <v>82</v>
      </c>
      <c r="S39"/>
    </row>
    <row r="40" spans="1:19" ht="16">
      <c r="A40" t="s">
        <v>83</v>
      </c>
      <c r="B40" s="7" t="s">
        <v>34</v>
      </c>
      <c r="C40" t="s">
        <v>35</v>
      </c>
      <c r="D40" t="s">
        <v>19</v>
      </c>
      <c r="E40" t="s">
        <v>20</v>
      </c>
      <c r="F40" t="s">
        <v>54</v>
      </c>
      <c r="G40" t="s">
        <v>22</v>
      </c>
      <c r="H40" t="s">
        <v>37</v>
      </c>
      <c r="I40" t="s">
        <v>43</v>
      </c>
      <c r="J40" s="5" cm="1">
        <f t="array" ref="J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S40"/>
    </row>
    <row r="41" spans="1:19" ht="16">
      <c r="A41" s="6" t="s">
        <v>83</v>
      </c>
      <c r="B41" s="7" t="s">
        <v>34</v>
      </c>
      <c r="C41" t="s">
        <v>35</v>
      </c>
      <c r="D41" t="s">
        <v>39</v>
      </c>
      <c r="E41" t="s">
        <v>20</v>
      </c>
      <c r="F41" t="s">
        <v>21</v>
      </c>
      <c r="G41" t="s">
        <v>22</v>
      </c>
      <c r="H41" t="s">
        <v>23</v>
      </c>
      <c r="I41" t="s">
        <v>43</v>
      </c>
      <c r="J41" s="5" cm="1">
        <f t="array" ref="J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6.4285714285714288</v>
      </c>
      <c r="S41"/>
    </row>
    <row r="42" spans="1:19" ht="16">
      <c r="A42" s="6" t="s">
        <v>84</v>
      </c>
      <c r="B42" s="7" t="s">
        <v>17</v>
      </c>
      <c r="C42" t="s">
        <v>35</v>
      </c>
      <c r="D42" t="s">
        <v>19</v>
      </c>
      <c r="E42" t="s">
        <v>29</v>
      </c>
      <c r="F42" t="s">
        <v>30</v>
      </c>
      <c r="G42" t="s">
        <v>22</v>
      </c>
      <c r="H42" t="s">
        <v>31</v>
      </c>
      <c r="I42" t="s">
        <v>24</v>
      </c>
      <c r="J42" s="5" cm="1">
        <f t="array" ref="J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7.4285714285714288</v>
      </c>
      <c r="K42" t="s">
        <v>85</v>
      </c>
      <c r="L42" t="s">
        <v>86</v>
      </c>
      <c r="S42"/>
    </row>
    <row r="43" spans="1:19" ht="16">
      <c r="A43" s="6" t="s">
        <v>84</v>
      </c>
      <c r="B43" s="7" t="s">
        <v>17</v>
      </c>
      <c r="C43" t="s">
        <v>35</v>
      </c>
      <c r="D43" t="s">
        <v>39</v>
      </c>
      <c r="E43" t="s">
        <v>29</v>
      </c>
      <c r="F43" t="s">
        <v>30</v>
      </c>
      <c r="G43" t="s">
        <v>22</v>
      </c>
      <c r="H43" t="s">
        <v>31</v>
      </c>
      <c r="I43" t="s">
        <v>24</v>
      </c>
      <c r="J43" s="5" cm="1">
        <f t="array" ref="J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7.1428571428571432</v>
      </c>
      <c r="K43" t="s">
        <v>87</v>
      </c>
      <c r="L43" t="s">
        <v>88</v>
      </c>
      <c r="O43" t="s">
        <v>22</v>
      </c>
      <c r="Q43" s="14">
        <v>0.58699999999999997</v>
      </c>
      <c r="S43"/>
    </row>
    <row r="44" spans="1:19" ht="16">
      <c r="A44" s="6" t="s">
        <v>84</v>
      </c>
      <c r="B44" s="7" t="s">
        <v>17</v>
      </c>
      <c r="C44" t="s">
        <v>35</v>
      </c>
      <c r="D44" t="s">
        <v>58</v>
      </c>
      <c r="E44" t="s">
        <v>29</v>
      </c>
      <c r="F44" t="s">
        <v>30</v>
      </c>
      <c r="G44" t="s">
        <v>22</v>
      </c>
      <c r="H44" t="s">
        <v>37</v>
      </c>
      <c r="I44" t="s">
        <v>43</v>
      </c>
      <c r="J44" s="5" cm="1">
        <f t="array" ref="J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8.2857142857142865</v>
      </c>
      <c r="L44" t="s">
        <v>88</v>
      </c>
      <c r="S44"/>
    </row>
    <row r="45" spans="1:19" ht="16">
      <c r="A45" s="6" t="s">
        <v>89</v>
      </c>
      <c r="B45" s="7" t="s">
        <v>27</v>
      </c>
      <c r="C45" t="s">
        <v>35</v>
      </c>
      <c r="D45" t="s">
        <v>40</v>
      </c>
      <c r="E45" t="s">
        <v>29</v>
      </c>
      <c r="F45" t="s">
        <v>21</v>
      </c>
      <c r="G45" t="s">
        <v>22</v>
      </c>
      <c r="H45" t="s">
        <v>23</v>
      </c>
      <c r="I45" t="s">
        <v>43</v>
      </c>
      <c r="J45" s="5" cm="1">
        <f t="array" ref="J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S45"/>
    </row>
    <row r="46" spans="1:19" ht="16">
      <c r="A46" s="6" t="s">
        <v>89</v>
      </c>
      <c r="B46" s="7" t="s">
        <v>27</v>
      </c>
      <c r="C46" t="s">
        <v>35</v>
      </c>
      <c r="D46" t="s">
        <v>19</v>
      </c>
      <c r="E46" t="s">
        <v>20</v>
      </c>
      <c r="F46" t="s">
        <v>54</v>
      </c>
      <c r="G46" t="s">
        <v>22</v>
      </c>
      <c r="H46" t="s">
        <v>37</v>
      </c>
      <c r="I46" t="s">
        <v>43</v>
      </c>
      <c r="J46" s="5" cm="1">
        <f t="array" ref="J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K46" t="s">
        <v>90</v>
      </c>
      <c r="S46"/>
    </row>
    <row r="47" spans="1:19" ht="16">
      <c r="A47" t="s">
        <v>91</v>
      </c>
      <c r="B47" s="7" t="s">
        <v>27</v>
      </c>
      <c r="C47" t="s">
        <v>35</v>
      </c>
      <c r="D47" t="s">
        <v>39</v>
      </c>
      <c r="E47" t="s">
        <v>29</v>
      </c>
      <c r="F47" t="s">
        <v>54</v>
      </c>
      <c r="G47" t="s">
        <v>22</v>
      </c>
      <c r="H47" t="s">
        <v>23</v>
      </c>
      <c r="I47" t="s">
        <v>43</v>
      </c>
      <c r="J47" s="5" cm="1">
        <f t="array" ref="J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47" t="s">
        <v>92</v>
      </c>
      <c r="S47"/>
    </row>
    <row r="48" spans="1:19" ht="16">
      <c r="A48" t="s">
        <v>91</v>
      </c>
      <c r="B48" s="7" t="s">
        <v>34</v>
      </c>
      <c r="C48" t="s">
        <v>35</v>
      </c>
      <c r="D48" t="s">
        <v>40</v>
      </c>
      <c r="E48" t="s">
        <v>29</v>
      </c>
      <c r="F48" t="s">
        <v>54</v>
      </c>
      <c r="G48" t="s">
        <v>22</v>
      </c>
      <c r="H48" t="s">
        <v>31</v>
      </c>
      <c r="I48" t="s">
        <v>43</v>
      </c>
      <c r="J48" s="5" cm="1">
        <f t="array" ref="J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S48"/>
    </row>
    <row r="49" spans="1:19" ht="16">
      <c r="A49" t="s">
        <v>91</v>
      </c>
      <c r="B49" s="7" t="s">
        <v>34</v>
      </c>
      <c r="C49" t="s">
        <v>35</v>
      </c>
      <c r="D49" t="s">
        <v>19</v>
      </c>
      <c r="E49" t="s">
        <v>29</v>
      </c>
      <c r="F49" t="s">
        <v>54</v>
      </c>
      <c r="G49" t="s">
        <v>22</v>
      </c>
      <c r="H49" t="s">
        <v>31</v>
      </c>
      <c r="I49" t="s">
        <v>43</v>
      </c>
      <c r="J49" s="5" cm="1">
        <f t="array" ref="J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S49"/>
    </row>
    <row r="50" spans="1:19" ht="16">
      <c r="A50" t="s">
        <v>91</v>
      </c>
      <c r="B50" s="7" t="s">
        <v>34</v>
      </c>
      <c r="C50" t="s">
        <v>35</v>
      </c>
      <c r="D50" t="s">
        <v>49</v>
      </c>
      <c r="E50" t="s">
        <v>29</v>
      </c>
      <c r="F50" t="s">
        <v>54</v>
      </c>
      <c r="G50" t="s">
        <v>22</v>
      </c>
      <c r="H50" t="s">
        <v>31</v>
      </c>
      <c r="I50" t="s">
        <v>43</v>
      </c>
      <c r="J50" s="5" cm="1">
        <f t="array" ref="J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7.5714285714285712</v>
      </c>
      <c r="S50"/>
    </row>
    <row r="51" spans="1:19" ht="16">
      <c r="A51" t="s">
        <v>91</v>
      </c>
      <c r="B51" s="7" t="s">
        <v>34</v>
      </c>
      <c r="C51" t="s">
        <v>35</v>
      </c>
      <c r="D51" t="s">
        <v>63</v>
      </c>
      <c r="E51" t="s">
        <v>29</v>
      </c>
      <c r="F51" t="s">
        <v>54</v>
      </c>
      <c r="G51" t="s">
        <v>22</v>
      </c>
      <c r="H51" t="s">
        <v>31</v>
      </c>
      <c r="I51" t="s">
        <v>43</v>
      </c>
      <c r="J51" s="5" cm="1">
        <f t="array" ref="J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6.8571428571428568</v>
      </c>
      <c r="S51"/>
    </row>
    <row r="52" spans="1:19" ht="16">
      <c r="A52" t="s">
        <v>91</v>
      </c>
      <c r="B52" s="7" t="s">
        <v>34</v>
      </c>
      <c r="C52" t="s">
        <v>35</v>
      </c>
      <c r="D52" t="s">
        <v>93</v>
      </c>
      <c r="E52" t="s">
        <v>29</v>
      </c>
      <c r="F52" t="s">
        <v>54</v>
      </c>
      <c r="G52" t="s">
        <v>22</v>
      </c>
      <c r="H52" t="s">
        <v>37</v>
      </c>
      <c r="I52" t="s">
        <v>43</v>
      </c>
      <c r="J52" s="5" cm="1">
        <f t="array" ref="J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6.5714285714285712</v>
      </c>
      <c r="S52"/>
    </row>
    <row r="53" spans="1:19" ht="16">
      <c r="A53" t="s">
        <v>94</v>
      </c>
      <c r="B53" s="7" t="s">
        <v>34</v>
      </c>
      <c r="C53" t="s">
        <v>35</v>
      </c>
      <c r="D53" t="s">
        <v>19</v>
      </c>
      <c r="E53" t="s">
        <v>29</v>
      </c>
      <c r="F53" t="s">
        <v>21</v>
      </c>
      <c r="G53" t="s">
        <v>36</v>
      </c>
      <c r="H53" t="s">
        <v>37</v>
      </c>
      <c r="I53" t="s">
        <v>38</v>
      </c>
      <c r="J53" s="5" cm="1">
        <f t="array" ref="J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K53" t="s">
        <v>95</v>
      </c>
      <c r="S53"/>
    </row>
    <row r="54" spans="1:19" ht="16">
      <c r="A54" t="s">
        <v>94</v>
      </c>
      <c r="B54" s="7" t="s">
        <v>34</v>
      </c>
      <c r="C54" t="s">
        <v>35</v>
      </c>
      <c r="D54" t="s">
        <v>49</v>
      </c>
      <c r="E54" t="s">
        <v>29</v>
      </c>
      <c r="F54" t="s">
        <v>21</v>
      </c>
      <c r="G54" t="s">
        <v>36</v>
      </c>
      <c r="H54" t="s">
        <v>37</v>
      </c>
      <c r="I54" t="s">
        <v>38</v>
      </c>
      <c r="J54" s="5" cm="1">
        <f t="array" ref="J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S54"/>
    </row>
    <row r="55" spans="1:19" ht="16">
      <c r="A55" t="s">
        <v>94</v>
      </c>
      <c r="B55" s="7" t="s">
        <v>34</v>
      </c>
      <c r="C55" t="s">
        <v>35</v>
      </c>
      <c r="D55" t="s">
        <v>63</v>
      </c>
      <c r="E55" t="s">
        <v>29</v>
      </c>
      <c r="F55" t="s">
        <v>21</v>
      </c>
      <c r="G55" t="s">
        <v>36</v>
      </c>
      <c r="H55" t="s">
        <v>37</v>
      </c>
      <c r="I55" t="s">
        <v>38</v>
      </c>
      <c r="J55" s="5" cm="1">
        <f t="array" ref="J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4.4285714285714288</v>
      </c>
      <c r="S55"/>
    </row>
    <row r="56" spans="1:19" ht="16">
      <c r="A56" t="s">
        <v>94</v>
      </c>
      <c r="B56" s="7" t="s">
        <v>34</v>
      </c>
      <c r="C56" t="s">
        <v>35</v>
      </c>
      <c r="D56" t="s">
        <v>40</v>
      </c>
      <c r="E56" t="s">
        <v>29</v>
      </c>
      <c r="F56" t="s">
        <v>21</v>
      </c>
      <c r="G56" t="s">
        <v>36</v>
      </c>
      <c r="H56" t="s">
        <v>37</v>
      </c>
      <c r="I56" t="s">
        <v>38</v>
      </c>
      <c r="J56" s="5" cm="1">
        <f t="array" ref="J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S56"/>
    </row>
    <row r="57" spans="1:19" ht="16">
      <c r="A57" t="s">
        <v>96</v>
      </c>
      <c r="B57" s="7" t="s">
        <v>27</v>
      </c>
      <c r="C57" t="s">
        <v>35</v>
      </c>
      <c r="D57" t="s">
        <v>58</v>
      </c>
      <c r="E57" t="s">
        <v>29</v>
      </c>
      <c r="F57" t="s">
        <v>54</v>
      </c>
      <c r="G57" t="s">
        <v>22</v>
      </c>
      <c r="H57" t="s">
        <v>23</v>
      </c>
      <c r="I57" t="s">
        <v>43</v>
      </c>
      <c r="J57" s="5" cm="1">
        <f t="array" ref="J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7.2857142857142856</v>
      </c>
      <c r="L57" t="s">
        <v>82</v>
      </c>
      <c r="S57"/>
    </row>
    <row r="58" spans="1:19" ht="16">
      <c r="A58" t="s">
        <v>96</v>
      </c>
      <c r="B58" s="7" t="s">
        <v>27</v>
      </c>
      <c r="C58" t="s">
        <v>35</v>
      </c>
      <c r="D58" t="s">
        <v>19</v>
      </c>
      <c r="E58" t="s">
        <v>29</v>
      </c>
      <c r="F58" t="s">
        <v>54</v>
      </c>
      <c r="G58" t="s">
        <v>22</v>
      </c>
      <c r="H58" t="s">
        <v>97</v>
      </c>
      <c r="I58" t="s">
        <v>43</v>
      </c>
      <c r="J58" s="5" t="str" cm="1">
        <f t="array" ref="J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L58" t="s">
        <v>82</v>
      </c>
      <c r="S58"/>
    </row>
    <row r="59" spans="1:19" ht="16">
      <c r="A59" t="s">
        <v>98</v>
      </c>
      <c r="B59" s="7" t="s">
        <v>27</v>
      </c>
      <c r="C59" t="s">
        <v>18</v>
      </c>
      <c r="D59" t="s">
        <v>19</v>
      </c>
      <c r="E59" t="s">
        <v>20</v>
      </c>
      <c r="F59" t="s">
        <v>21</v>
      </c>
      <c r="G59" t="s">
        <v>22</v>
      </c>
      <c r="H59" t="s">
        <v>23</v>
      </c>
      <c r="I59" t="s">
        <v>43</v>
      </c>
      <c r="J59" s="5" cm="1">
        <f t="array" ref="J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v>
      </c>
      <c r="K59" t="s">
        <v>99</v>
      </c>
      <c r="S59"/>
    </row>
    <row r="60" spans="1:19" ht="16">
      <c r="A60" t="s">
        <v>98</v>
      </c>
      <c r="B60" s="7" t="s">
        <v>27</v>
      </c>
      <c r="C60" t="s">
        <v>18</v>
      </c>
      <c r="D60" t="s">
        <v>39</v>
      </c>
      <c r="E60" t="s">
        <v>20</v>
      </c>
      <c r="F60" t="s">
        <v>21</v>
      </c>
      <c r="G60" t="s">
        <v>22</v>
      </c>
      <c r="H60" t="s">
        <v>23</v>
      </c>
      <c r="I60" t="s">
        <v>43</v>
      </c>
      <c r="J60" s="5" cm="1">
        <f t="array" ref="J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5.7142857142857144</v>
      </c>
      <c r="K60" t="s">
        <v>100</v>
      </c>
      <c r="S60"/>
    </row>
    <row r="61" spans="1:19" ht="16">
      <c r="A61" t="s">
        <v>101</v>
      </c>
      <c r="B61" s="7" t="s">
        <v>34</v>
      </c>
      <c r="C61" t="s">
        <v>35</v>
      </c>
      <c r="D61" t="s">
        <v>40</v>
      </c>
      <c r="E61" t="s">
        <v>29</v>
      </c>
      <c r="F61" t="s">
        <v>21</v>
      </c>
      <c r="G61" t="s">
        <v>36</v>
      </c>
      <c r="H61" t="s">
        <v>37</v>
      </c>
      <c r="I61" t="s">
        <v>38</v>
      </c>
      <c r="J61" s="5" cm="1">
        <f t="array" ref="J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L61" t="s">
        <v>82</v>
      </c>
      <c r="S61"/>
    </row>
    <row r="62" spans="1:19" ht="16">
      <c r="A62" t="s">
        <v>101</v>
      </c>
      <c r="B62" s="7" t="s">
        <v>34</v>
      </c>
      <c r="C62" t="s">
        <v>35</v>
      </c>
      <c r="D62" t="s">
        <v>19</v>
      </c>
      <c r="E62" t="s">
        <v>29</v>
      </c>
      <c r="F62" t="s">
        <v>21</v>
      </c>
      <c r="G62" t="s">
        <v>36</v>
      </c>
      <c r="H62" t="s">
        <v>37</v>
      </c>
      <c r="I62" t="s">
        <v>38</v>
      </c>
      <c r="J62" s="5" cm="1">
        <f t="array" ref="J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5.1428571428571432</v>
      </c>
      <c r="L62" t="s">
        <v>82</v>
      </c>
      <c r="S62"/>
    </row>
    <row r="63" spans="1:19" ht="16">
      <c r="A63" t="s">
        <v>101</v>
      </c>
      <c r="B63" s="7" t="s">
        <v>27</v>
      </c>
      <c r="C63" t="s">
        <v>35</v>
      </c>
      <c r="D63" t="s">
        <v>63</v>
      </c>
      <c r="E63" t="s">
        <v>29</v>
      </c>
      <c r="F63" t="s">
        <v>21</v>
      </c>
      <c r="G63" t="s">
        <v>36</v>
      </c>
      <c r="H63" t="s">
        <v>37</v>
      </c>
      <c r="I63" t="s">
        <v>38</v>
      </c>
      <c r="J63" s="5" cm="1">
        <f t="array" ref="J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4.4285714285714288</v>
      </c>
      <c r="L63" t="s">
        <v>82</v>
      </c>
      <c r="S63"/>
    </row>
    <row r="64" spans="1:19" ht="16">
      <c r="A64" t="s">
        <v>101</v>
      </c>
      <c r="B64" s="7" t="s">
        <v>34</v>
      </c>
      <c r="C64" t="s">
        <v>35</v>
      </c>
      <c r="D64" t="s">
        <v>39</v>
      </c>
      <c r="E64" t="s">
        <v>29</v>
      </c>
      <c r="F64" t="s">
        <v>21</v>
      </c>
      <c r="G64" t="s">
        <v>36</v>
      </c>
      <c r="H64" t="s">
        <v>37</v>
      </c>
      <c r="I64" t="s">
        <v>38</v>
      </c>
      <c r="J64" s="5" cm="1">
        <f t="array" ref="J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4.8571428571428568</v>
      </c>
      <c r="L64" t="s">
        <v>82</v>
      </c>
      <c r="S64"/>
    </row>
    <row r="65" spans="1:19" ht="16">
      <c r="A65" t="s">
        <v>102</v>
      </c>
      <c r="B65" s="7" t="s">
        <v>27</v>
      </c>
      <c r="C65" t="s">
        <v>35</v>
      </c>
      <c r="D65" t="s">
        <v>39</v>
      </c>
      <c r="E65" t="s">
        <v>29</v>
      </c>
      <c r="F65" t="s">
        <v>21</v>
      </c>
      <c r="G65" t="s">
        <v>22</v>
      </c>
      <c r="H65" t="s">
        <v>31</v>
      </c>
      <c r="I65" t="s">
        <v>43</v>
      </c>
      <c r="J65" s="5" cm="1">
        <f t="array" ref="J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7</v>
      </c>
      <c r="K65" s="8" t="s">
        <v>48</v>
      </c>
      <c r="L65" s="8" t="s">
        <v>103</v>
      </c>
      <c r="M65" s="8"/>
      <c r="N65" s="8"/>
      <c r="O65" s="8"/>
      <c r="P65" s="8"/>
      <c r="Q65" s="15"/>
      <c r="S65"/>
    </row>
    <row r="66" spans="1:19" ht="16">
      <c r="A66" t="s">
        <v>104</v>
      </c>
      <c r="B66" s="7" t="s">
        <v>27</v>
      </c>
      <c r="C66" t="s">
        <v>28</v>
      </c>
      <c r="D66" t="s">
        <v>19</v>
      </c>
      <c r="E66" t="s">
        <v>47</v>
      </c>
      <c r="F66" t="s">
        <v>105</v>
      </c>
      <c r="G66" t="s">
        <v>22</v>
      </c>
      <c r="H66" t="s">
        <v>23</v>
      </c>
      <c r="I66" t="s">
        <v>43</v>
      </c>
      <c r="J66" s="5" cm="1">
        <f t="array" ref="J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6.2857142857142856</v>
      </c>
      <c r="K66" t="s">
        <v>106</v>
      </c>
      <c r="S66"/>
    </row>
    <row r="67" spans="1:19" ht="16">
      <c r="A67" t="s">
        <v>104</v>
      </c>
      <c r="B67" s="7" t="s">
        <v>34</v>
      </c>
      <c r="C67" t="s">
        <v>28</v>
      </c>
      <c r="D67" t="s">
        <v>78</v>
      </c>
      <c r="E67" t="s">
        <v>47</v>
      </c>
      <c r="F67" t="s">
        <v>105</v>
      </c>
      <c r="G67" t="s">
        <v>22</v>
      </c>
      <c r="H67" t="s">
        <v>31</v>
      </c>
      <c r="I67" t="s">
        <v>43</v>
      </c>
      <c r="J67" s="5" cm="1">
        <f t="array" ref="J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5.8571428571428568</v>
      </c>
      <c r="S67"/>
    </row>
    <row r="68" spans="1:19" ht="16">
      <c r="A68" t="s">
        <v>107</v>
      </c>
      <c r="B68" s="7" t="s">
        <v>34</v>
      </c>
      <c r="C68" t="s">
        <v>35</v>
      </c>
      <c r="D68" t="s">
        <v>19</v>
      </c>
      <c r="E68" t="s">
        <v>17</v>
      </c>
      <c r="F68" t="s">
        <v>54</v>
      </c>
      <c r="G68" t="s">
        <v>36</v>
      </c>
      <c r="H68" t="s">
        <v>108</v>
      </c>
      <c r="I68" t="s">
        <v>43</v>
      </c>
      <c r="J68" s="5" cm="1">
        <f t="array" ref="J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5.8571428571428568</v>
      </c>
      <c r="S68"/>
    </row>
    <row r="69" spans="1:19" ht="16">
      <c r="A69" t="s">
        <v>107</v>
      </c>
      <c r="B69" s="7" t="s">
        <v>34</v>
      </c>
      <c r="C69" t="s">
        <v>35</v>
      </c>
      <c r="D69" t="s">
        <v>39</v>
      </c>
      <c r="E69" t="s">
        <v>17</v>
      </c>
      <c r="F69" t="s">
        <v>54</v>
      </c>
      <c r="G69" t="s">
        <v>36</v>
      </c>
      <c r="H69" t="s">
        <v>108</v>
      </c>
      <c r="I69" t="s">
        <v>43</v>
      </c>
      <c r="J69" s="5" cm="1">
        <f t="array" ref="J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5.5714285714285712</v>
      </c>
      <c r="S69"/>
    </row>
    <row r="70" spans="1:19" ht="34">
      <c r="A70" t="s">
        <v>109</v>
      </c>
      <c r="B70" s="7" t="s">
        <v>27</v>
      </c>
      <c r="C70" t="s">
        <v>42</v>
      </c>
      <c r="D70" t="s">
        <v>63</v>
      </c>
      <c r="E70" t="s">
        <v>29</v>
      </c>
      <c r="F70" t="s">
        <v>30</v>
      </c>
      <c r="G70" t="s">
        <v>22</v>
      </c>
      <c r="H70" t="s">
        <v>31</v>
      </c>
      <c r="I70" t="s">
        <v>43</v>
      </c>
      <c r="J70" s="5" cm="1">
        <f t="array" ref="J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6.5714285714285712</v>
      </c>
      <c r="R70" t="s">
        <v>110</v>
      </c>
      <c r="S70" s="11" t="s">
        <v>111</v>
      </c>
    </row>
    <row r="71" spans="1:19" ht="16">
      <c r="A71" t="s">
        <v>112</v>
      </c>
      <c r="J71" s="5" t="str" cm="1">
        <f t="array" ref="J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
    </row>
    <row r="72" spans="1:19" ht="16">
      <c r="A72" t="s">
        <v>113</v>
      </c>
      <c r="C72" t="s">
        <v>35</v>
      </c>
      <c r="E72" t="s">
        <v>29</v>
      </c>
      <c r="G72" t="s">
        <v>22</v>
      </c>
      <c r="J72" s="5" t="str" cm="1">
        <f t="array" ref="J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K72" t="s">
        <v>114</v>
      </c>
      <c r="S72"/>
    </row>
    <row r="73" spans="1:19" ht="16">
      <c r="A73" t="s">
        <v>115</v>
      </c>
      <c r="C73" t="s">
        <v>28</v>
      </c>
      <c r="D73" t="s">
        <v>58</v>
      </c>
      <c r="J73" s="5" t="str" cm="1">
        <f t="array" ref="J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
    </row>
    <row r="74" spans="1:19" ht="16">
      <c r="A74" t="s">
        <v>116</v>
      </c>
      <c r="C74" t="s">
        <v>28</v>
      </c>
      <c r="D74" t="s">
        <v>19</v>
      </c>
      <c r="J74" s="5" t="str" cm="1">
        <f t="array" ref="J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
    </row>
    <row r="75" spans="1:19" ht="16">
      <c r="A75" t="s">
        <v>116</v>
      </c>
      <c r="C75" t="s">
        <v>28</v>
      </c>
      <c r="D75" t="s">
        <v>39</v>
      </c>
      <c r="J75" s="5" t="str" cm="1">
        <f t="array" ref="J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
    </row>
    <row r="76" spans="1:19" ht="16">
      <c r="A76" t="s">
        <v>116</v>
      </c>
      <c r="C76" t="s">
        <v>28</v>
      </c>
      <c r="D76" t="s">
        <v>40</v>
      </c>
      <c r="J76" s="5" t="str" cm="1">
        <f t="array" ref="J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
    </row>
    <row r="77" spans="1:19" ht="16">
      <c r="A77" t="s">
        <v>116</v>
      </c>
      <c r="C77" t="s">
        <v>28</v>
      </c>
      <c r="D77" t="s">
        <v>58</v>
      </c>
      <c r="J77" s="5" t="str" cm="1">
        <f t="array" ref="J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
    </row>
    <row r="78" spans="1:19" ht="16">
      <c r="A78" t="s">
        <v>116</v>
      </c>
      <c r="C78" t="s">
        <v>28</v>
      </c>
      <c r="D78" t="s">
        <v>78</v>
      </c>
      <c r="J78" s="5" t="str" cm="1">
        <f t="array" ref="J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
    </row>
    <row r="79" spans="1:19" ht="16">
      <c r="A79" t="s">
        <v>116</v>
      </c>
      <c r="C79" t="s">
        <v>28</v>
      </c>
      <c r="D79" t="s">
        <v>117</v>
      </c>
      <c r="J79" s="5" t="str" cm="1">
        <f t="array" ref="J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
    </row>
    <row r="80" spans="1:19" ht="16">
      <c r="A80" t="s">
        <v>116</v>
      </c>
      <c r="C80" t="s">
        <v>28</v>
      </c>
      <c r="D80" t="s">
        <v>118</v>
      </c>
      <c r="J80" s="5" t="str" cm="1">
        <f t="array" ref="J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
    </row>
    <row r="81" spans="1:19" ht="16">
      <c r="A81" t="s">
        <v>116</v>
      </c>
      <c r="C81" t="s">
        <v>28</v>
      </c>
      <c r="D81" t="s">
        <v>63</v>
      </c>
      <c r="J81" s="5" t="str" cm="1">
        <f t="array" ref="J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
    </row>
    <row r="82" spans="1:19" ht="16">
      <c r="A82" t="s">
        <v>116</v>
      </c>
      <c r="C82" t="s">
        <v>28</v>
      </c>
      <c r="D82" t="s">
        <v>93</v>
      </c>
      <c r="J82" s="5" t="str" cm="1">
        <f t="array" ref="J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
    </row>
    <row r="83" spans="1:19" ht="16">
      <c r="A83" t="s">
        <v>116</v>
      </c>
      <c r="C83" t="s">
        <v>28</v>
      </c>
      <c r="D83" t="s">
        <v>49</v>
      </c>
      <c r="J83" s="5" t="str" cm="1">
        <f t="array" ref="J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
    </row>
    <row r="84" spans="1:19" ht="238">
      <c r="A84" t="s">
        <v>119</v>
      </c>
      <c r="J84" s="5" t="str" cm="1">
        <f t="array" ref="J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R84" s="11" t="s">
        <v>120</v>
      </c>
    </row>
    <row r="85" spans="1:19" ht="289">
      <c r="A85" t="s">
        <v>121</v>
      </c>
      <c r="J85" s="5" t="str" cm="1">
        <f t="array" ref="J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R85" s="11" t="s">
        <v>122</v>
      </c>
    </row>
    <row r="86" spans="1:19" ht="16">
      <c r="A86" t="s">
        <v>123</v>
      </c>
      <c r="C86" t="s">
        <v>28</v>
      </c>
      <c r="J86" s="5" t="str" cm="1">
        <f t="array" ref="J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
    </row>
    <row r="87" spans="1:19" ht="16">
      <c r="J87" s="5" t="str" cm="1">
        <f t="array" ref="J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
    </row>
    <row r="88" spans="1:19" ht="16">
      <c r="J88" s="5" t="str" cm="1">
        <f t="array" ref="J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
    </row>
    <row r="89" spans="1:19" ht="16">
      <c r="J89" s="5" t="str" cm="1">
        <f t="array" ref="J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
    </row>
    <row r="90" spans="1:19" ht="16">
      <c r="J90" s="5" t="str" cm="1">
        <f t="array" ref="J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
    </row>
    <row r="91" spans="1:19" ht="16">
      <c r="J91" s="5" t="str" cm="1">
        <f t="array" ref="J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
    </row>
    <row r="92" spans="1:19" ht="16">
      <c r="J92" s="5" t="str" cm="1">
        <f t="array" ref="J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
    </row>
    <row r="93" spans="1:19" ht="16">
      <c r="J93" s="5" t="str" cm="1">
        <f t="array" ref="J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
    </row>
    <row r="94" spans="1:19" ht="16">
      <c r="J94" s="5" t="str" cm="1">
        <f t="array" ref="J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
    </row>
    <row r="95" spans="1:19" ht="16">
      <c r="J95" s="5" t="str" cm="1">
        <f t="array" ref="J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
    </row>
    <row r="96" spans="1:19" ht="16">
      <c r="J96" s="5" t="str" cm="1">
        <f t="array" ref="J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
    </row>
    <row r="97" spans="10:19" ht="16">
      <c r="J97" s="5" t="str" cm="1">
        <f t="array" ref="J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
    </row>
    <row r="98" spans="10:19" ht="16">
      <c r="J98" s="5" t="str" cm="1">
        <f t="array" ref="J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
    </row>
    <row r="99" spans="10:19" ht="16">
      <c r="J99" s="5" t="str" cm="1">
        <f t="array" ref="J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
    </row>
    <row r="100" spans="10:19" ht="16">
      <c r="J100" s="5" t="str" cm="1">
        <f t="array" ref="J1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
    </row>
    <row r="101" spans="10:19" ht="16">
      <c r="J101" s="5" t="str" cm="1">
        <f t="array" ref="J1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
    </row>
    <row r="102" spans="10:19" ht="16">
      <c r="J102" s="5" t="str" cm="1">
        <f t="array" ref="J1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
    </row>
    <row r="103" spans="10:19" ht="16">
      <c r="J103" s="5" t="str" cm="1">
        <f t="array" ref="J1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3"/>
    </row>
    <row r="104" spans="10:19" ht="16">
      <c r="J104" s="5" t="str" cm="1">
        <f t="array" ref="J1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4"/>
    </row>
    <row r="105" spans="10:19" ht="16">
      <c r="J105" s="5" t="str" cm="1">
        <f t="array" ref="J1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5"/>
    </row>
    <row r="106" spans="10:19" ht="16">
      <c r="J106" s="5" t="str" cm="1">
        <f t="array" ref="J1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6"/>
    </row>
    <row r="107" spans="10:19" ht="16">
      <c r="J107" s="5" t="str" cm="1">
        <f t="array" ref="J1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7"/>
    </row>
    <row r="108" spans="10:19" ht="16">
      <c r="J108" s="5" t="str" cm="1">
        <f t="array" ref="J1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8"/>
    </row>
    <row r="109" spans="10:19" ht="16">
      <c r="J109" s="5" t="str" cm="1">
        <f t="array" ref="J1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9"/>
    </row>
    <row r="110" spans="10:19" ht="16">
      <c r="J110" s="5" t="str" cm="1">
        <f t="array" ref="J1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0"/>
    </row>
    <row r="111" spans="10:19" ht="16">
      <c r="J111" s="5" t="str" cm="1">
        <f t="array" ref="J1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1"/>
    </row>
    <row r="112" spans="10:19" ht="16">
      <c r="J112" s="5" t="str" cm="1">
        <f t="array" ref="J1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2"/>
    </row>
    <row r="113" spans="10:19" ht="16">
      <c r="J113" s="5" t="str" cm="1">
        <f t="array" ref="J1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3"/>
    </row>
    <row r="114" spans="10:19" ht="16">
      <c r="J114" s="5" t="str" cm="1">
        <f t="array" ref="J1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4"/>
    </row>
    <row r="115" spans="10:19" ht="16">
      <c r="J115" s="5" t="str" cm="1">
        <f t="array" ref="J1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5"/>
    </row>
    <row r="116" spans="10:19" ht="16">
      <c r="J116" s="5" t="str" cm="1">
        <f t="array" ref="J1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6"/>
    </row>
    <row r="117" spans="10:19" ht="16">
      <c r="J117" s="5" t="str" cm="1">
        <f t="array" ref="J1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7"/>
    </row>
    <row r="118" spans="10:19" ht="16">
      <c r="J118" s="5" t="str" cm="1">
        <f t="array" ref="J1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8"/>
    </row>
    <row r="119" spans="10:19" ht="16">
      <c r="J119" s="5" t="str" cm="1">
        <f t="array" ref="J1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19"/>
    </row>
    <row r="120" spans="10:19" ht="16">
      <c r="J120" s="5" t="str" cm="1">
        <f t="array" ref="J1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0"/>
    </row>
    <row r="121" spans="10:19" ht="16">
      <c r="J121" s="5" t="str" cm="1">
        <f t="array" ref="J1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1"/>
    </row>
    <row r="122" spans="10:19" ht="16">
      <c r="J122" s="5" t="str" cm="1">
        <f t="array" ref="J1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2"/>
    </row>
    <row r="123" spans="10:19" ht="16">
      <c r="J123" s="5" t="str" cm="1">
        <f t="array" ref="J1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3"/>
    </row>
    <row r="124" spans="10:19" ht="16">
      <c r="J124" s="5" t="str" cm="1">
        <f t="array" ref="J1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4"/>
    </row>
    <row r="125" spans="10:19" ht="16">
      <c r="J125" s="5" t="str" cm="1">
        <f t="array" ref="J1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5"/>
    </row>
    <row r="126" spans="10:19" ht="16">
      <c r="J126" s="5" t="str" cm="1">
        <f t="array" ref="J1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6"/>
    </row>
    <row r="127" spans="10:19" ht="16">
      <c r="J127" s="5" t="str" cm="1">
        <f t="array" ref="J1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7"/>
    </row>
    <row r="128" spans="10:19" ht="16">
      <c r="J128" s="5" t="str" cm="1">
        <f t="array" ref="J1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8"/>
    </row>
    <row r="129" spans="10:19" ht="16">
      <c r="J129" s="5" t="str" cm="1">
        <f t="array" ref="J1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29"/>
    </row>
    <row r="130" spans="10:19" ht="16">
      <c r="J130" s="5" t="str" cm="1">
        <f t="array" ref="J1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0"/>
    </row>
    <row r="131" spans="10:19" ht="16">
      <c r="J131" s="5" t="str" cm="1">
        <f t="array" ref="J1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1"/>
    </row>
    <row r="132" spans="10:19" ht="16">
      <c r="J132" s="5" t="str" cm="1">
        <f t="array" ref="J1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2"/>
    </row>
    <row r="133" spans="10:19" ht="16">
      <c r="J133" s="5" t="str" cm="1">
        <f t="array" ref="J1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3"/>
    </row>
    <row r="134" spans="10:19" ht="16">
      <c r="J134" s="5" t="str" cm="1">
        <f t="array" ref="J1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4"/>
    </row>
    <row r="135" spans="10:19" ht="16">
      <c r="J135" s="5" t="str" cm="1">
        <f t="array" ref="J1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5"/>
    </row>
    <row r="136" spans="10:19" ht="16">
      <c r="J136" s="5" t="str" cm="1">
        <f t="array" ref="J1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6"/>
    </row>
    <row r="137" spans="10:19" ht="16">
      <c r="J137" s="5" t="str" cm="1">
        <f t="array" ref="J1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7"/>
    </row>
    <row r="138" spans="10:19" ht="16">
      <c r="J138" s="5" t="str" cm="1">
        <f t="array" ref="J1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8"/>
    </row>
    <row r="139" spans="10:19" ht="16">
      <c r="J139" s="5" t="str" cm="1">
        <f t="array" ref="J1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39"/>
    </row>
    <row r="140" spans="10:19" ht="16">
      <c r="J140" s="5" t="str" cm="1">
        <f t="array" ref="J1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0"/>
    </row>
    <row r="141" spans="10:19" ht="16">
      <c r="J141" s="5" t="str" cm="1">
        <f t="array" ref="J1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1"/>
    </row>
    <row r="142" spans="10:19" ht="16">
      <c r="J142" s="5" t="str" cm="1">
        <f t="array" ref="J1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2"/>
    </row>
    <row r="143" spans="10:19" ht="16">
      <c r="J143" s="5" t="str" cm="1">
        <f t="array" ref="J1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3"/>
    </row>
    <row r="144" spans="10:19" ht="16">
      <c r="J144" s="5" t="str" cm="1">
        <f t="array" ref="J1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4"/>
    </row>
    <row r="145" spans="10:19" ht="16">
      <c r="J145" s="5" t="str" cm="1">
        <f t="array" ref="J1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5"/>
    </row>
    <row r="146" spans="10:19" ht="16">
      <c r="J146" s="5" t="str" cm="1">
        <f t="array" ref="J1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6"/>
    </row>
    <row r="147" spans="10:19" ht="16">
      <c r="J147" s="5" t="str" cm="1">
        <f t="array" ref="J1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7"/>
    </row>
    <row r="148" spans="10:19" ht="16">
      <c r="J148" s="5" t="str" cm="1">
        <f t="array" ref="J1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8"/>
    </row>
    <row r="149" spans="10:19" ht="16">
      <c r="J149" s="5" t="str" cm="1">
        <f t="array" ref="J1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49"/>
    </row>
    <row r="150" spans="10:19" ht="16">
      <c r="J150" s="5" t="str" cm="1">
        <f t="array" ref="J1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0"/>
    </row>
    <row r="151" spans="10:19" ht="16">
      <c r="J151" s="5" t="str" cm="1">
        <f t="array" ref="J1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1"/>
    </row>
    <row r="152" spans="10:19" ht="16">
      <c r="J152" s="5" t="str" cm="1">
        <f t="array" ref="J1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2"/>
    </row>
    <row r="153" spans="10:19" ht="16">
      <c r="J153" s="5" t="str" cm="1">
        <f t="array" ref="J1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3"/>
    </row>
    <row r="154" spans="10:19" ht="16">
      <c r="J154" s="5" t="str" cm="1">
        <f t="array" ref="J1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4"/>
    </row>
    <row r="155" spans="10:19" ht="16">
      <c r="J155" s="5" t="str" cm="1">
        <f t="array" ref="J1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5"/>
    </row>
    <row r="156" spans="10:19" ht="16">
      <c r="J156" s="5" t="str" cm="1">
        <f t="array" ref="J1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6"/>
    </row>
    <row r="157" spans="10:19" ht="16">
      <c r="J157" s="5" t="str" cm="1">
        <f t="array" ref="J1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7"/>
    </row>
    <row r="158" spans="10:19" ht="16">
      <c r="J158" s="5" t="str" cm="1">
        <f t="array" ref="J1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8"/>
    </row>
    <row r="159" spans="10:19" ht="16">
      <c r="J159" s="5" t="str" cm="1">
        <f t="array" ref="J1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59"/>
    </row>
    <row r="160" spans="10:19" ht="16">
      <c r="J160" s="5" t="str" cm="1">
        <f t="array" ref="J1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0"/>
    </row>
    <row r="161" spans="10:19" ht="16">
      <c r="J161" s="5" t="str" cm="1">
        <f t="array" ref="J1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1"/>
    </row>
    <row r="162" spans="10:19" ht="16">
      <c r="J162" s="5" t="str" cm="1">
        <f t="array" ref="J1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2"/>
    </row>
    <row r="163" spans="10:19" ht="16">
      <c r="J163" s="5" t="str" cm="1">
        <f t="array" ref="J1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3"/>
    </row>
    <row r="164" spans="10:19" ht="16">
      <c r="J164" s="5" t="str" cm="1">
        <f t="array" ref="J1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4"/>
    </row>
    <row r="165" spans="10:19" ht="16">
      <c r="J165" s="5" t="str" cm="1">
        <f t="array" ref="J1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5"/>
    </row>
    <row r="166" spans="10:19" ht="16">
      <c r="J166" s="5" t="str" cm="1">
        <f t="array" ref="J1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6"/>
    </row>
    <row r="167" spans="10:19" ht="16">
      <c r="J167" s="5" t="str" cm="1">
        <f t="array" ref="J1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7"/>
    </row>
    <row r="168" spans="10:19" ht="16">
      <c r="J168" s="5" t="str" cm="1">
        <f t="array" ref="J1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8"/>
    </row>
    <row r="169" spans="10:19" ht="16">
      <c r="J169" s="5" t="str" cm="1">
        <f t="array" ref="J1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69"/>
    </row>
    <row r="170" spans="10:19" ht="16">
      <c r="J170" s="5" t="str" cm="1">
        <f t="array" ref="J1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0"/>
    </row>
    <row r="171" spans="10:19" ht="16">
      <c r="J171" s="5" t="str" cm="1">
        <f t="array" ref="J1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1"/>
    </row>
    <row r="172" spans="10:19" ht="16">
      <c r="J172" s="5" t="str" cm="1">
        <f t="array" ref="J1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2"/>
    </row>
    <row r="173" spans="10:19" ht="16">
      <c r="J173" s="5" t="str" cm="1">
        <f t="array" ref="J1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3"/>
    </row>
    <row r="174" spans="10:19" ht="16">
      <c r="J174" s="5" t="str" cm="1">
        <f t="array" ref="J1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4"/>
    </row>
    <row r="175" spans="10:19" ht="16">
      <c r="J175" s="5" t="str" cm="1">
        <f t="array" ref="J1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5"/>
    </row>
    <row r="176" spans="10:19" ht="16">
      <c r="J176" s="5" t="str" cm="1">
        <f t="array" ref="J1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6"/>
    </row>
    <row r="177" spans="10:19" ht="16">
      <c r="J177" s="5" t="str" cm="1">
        <f t="array" ref="J1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7"/>
    </row>
    <row r="178" spans="10:19" ht="16">
      <c r="J178" s="5" t="str" cm="1">
        <f t="array" ref="J1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8"/>
    </row>
    <row r="179" spans="10:19" ht="16">
      <c r="J179" s="5" t="str" cm="1">
        <f t="array" ref="J1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79"/>
    </row>
    <row r="180" spans="10:19" ht="16">
      <c r="J180" s="5" t="str" cm="1">
        <f t="array" ref="J1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0"/>
    </row>
    <row r="181" spans="10:19" ht="16">
      <c r="J181" s="5" t="str" cm="1">
        <f t="array" ref="J1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1"/>
    </row>
    <row r="182" spans="10:19" ht="16">
      <c r="J182" s="5" t="str" cm="1">
        <f t="array" ref="J1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2"/>
    </row>
    <row r="183" spans="10:19" ht="16">
      <c r="J183" s="5" t="str" cm="1">
        <f t="array" ref="J1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3"/>
    </row>
    <row r="184" spans="10:19" ht="16">
      <c r="J184" s="5" t="str" cm="1">
        <f t="array" ref="J1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4"/>
    </row>
    <row r="185" spans="10:19" ht="16">
      <c r="J185" s="5" t="str" cm="1">
        <f t="array" ref="J1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5"/>
    </row>
    <row r="186" spans="10:19" ht="16">
      <c r="J186" s="5" t="str" cm="1">
        <f t="array" ref="J1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6"/>
    </row>
    <row r="187" spans="10:19" ht="16">
      <c r="J187" s="5" t="str" cm="1">
        <f t="array" ref="J1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7"/>
    </row>
    <row r="188" spans="10:19" ht="16">
      <c r="J188" s="5" t="str" cm="1">
        <f t="array" ref="J1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8"/>
    </row>
    <row r="189" spans="10:19" ht="16">
      <c r="J189" s="5" t="str" cm="1">
        <f t="array" ref="J1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89"/>
    </row>
    <row r="190" spans="10:19" ht="16">
      <c r="J190" s="5" t="str" cm="1">
        <f t="array" ref="J1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0"/>
    </row>
    <row r="191" spans="10:19" ht="16">
      <c r="J191" s="5" t="str" cm="1">
        <f t="array" ref="J1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1"/>
    </row>
    <row r="192" spans="10:19" ht="16">
      <c r="J192" s="5" t="str" cm="1">
        <f t="array" ref="J1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2"/>
    </row>
    <row r="193" spans="10:19" ht="16">
      <c r="J193" s="5" t="str" cm="1">
        <f t="array" ref="J1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3"/>
    </row>
    <row r="194" spans="10:19" ht="16">
      <c r="J194" s="5" t="str" cm="1">
        <f t="array" ref="J1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4"/>
    </row>
    <row r="195" spans="10:19" ht="16">
      <c r="J195" s="5" t="str" cm="1">
        <f t="array" ref="J1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5"/>
    </row>
    <row r="196" spans="10:19" ht="16">
      <c r="J196" s="5" t="str" cm="1">
        <f t="array" ref="J1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6"/>
    </row>
    <row r="197" spans="10:19" ht="16">
      <c r="J197" s="5" t="str" cm="1">
        <f t="array" ref="J1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7"/>
    </row>
    <row r="198" spans="10:19" ht="16">
      <c r="J198" s="5" t="str" cm="1">
        <f t="array" ref="J1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8"/>
    </row>
    <row r="199" spans="10:19" ht="16">
      <c r="J199" s="5" t="str" cm="1">
        <f t="array" ref="J1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99"/>
    </row>
    <row r="200" spans="10:19" ht="16">
      <c r="J200" s="5" t="str" cm="1">
        <f t="array" ref="J2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0"/>
    </row>
    <row r="201" spans="10:19" ht="16">
      <c r="J201" s="5" t="str" cm="1">
        <f t="array" ref="J2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1"/>
    </row>
    <row r="202" spans="10:19" ht="16">
      <c r="J202" s="5" t="str" cm="1">
        <f t="array" ref="J2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2"/>
    </row>
    <row r="203" spans="10:19" ht="16">
      <c r="J203" s="5" t="str" cm="1">
        <f t="array" ref="J2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3"/>
    </row>
    <row r="204" spans="10:19" ht="16">
      <c r="J204" s="5" t="str" cm="1">
        <f t="array" ref="J2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4"/>
    </row>
    <row r="205" spans="10:19" ht="16">
      <c r="J205" s="5" t="str" cm="1">
        <f t="array" ref="J2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5"/>
    </row>
    <row r="206" spans="10:19" ht="16">
      <c r="J206" s="5" t="str" cm="1">
        <f t="array" ref="J2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6"/>
    </row>
    <row r="207" spans="10:19" ht="16">
      <c r="J207" s="5" t="str" cm="1">
        <f t="array" ref="J2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7"/>
    </row>
    <row r="208" spans="10:19" ht="16">
      <c r="J208" s="5" t="str" cm="1">
        <f t="array" ref="J2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8"/>
    </row>
    <row r="209" spans="10:19" ht="16">
      <c r="J209" s="5" t="str" cm="1">
        <f t="array" ref="J2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09"/>
    </row>
    <row r="210" spans="10:19" ht="16">
      <c r="J210" s="5" t="str" cm="1">
        <f t="array" ref="J2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0"/>
    </row>
    <row r="211" spans="10:19" ht="16">
      <c r="J211" s="5" t="str" cm="1">
        <f t="array" ref="J2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1"/>
    </row>
    <row r="212" spans="10:19" ht="16">
      <c r="J212" s="5" t="str" cm="1">
        <f t="array" ref="J2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2"/>
    </row>
    <row r="213" spans="10:19" ht="16">
      <c r="J213" s="5" t="str" cm="1">
        <f t="array" ref="J2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3"/>
    </row>
    <row r="214" spans="10:19" ht="16">
      <c r="J214" s="5" t="str" cm="1">
        <f t="array" ref="J2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4"/>
    </row>
    <row r="215" spans="10:19" ht="16">
      <c r="J215" s="5" t="str" cm="1">
        <f t="array" ref="J2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5"/>
    </row>
    <row r="216" spans="10:19" ht="16">
      <c r="J216" s="5" t="str" cm="1">
        <f t="array" ref="J2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6"/>
    </row>
    <row r="217" spans="10:19" ht="16">
      <c r="J217" s="5" t="str" cm="1">
        <f t="array" ref="J2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7"/>
    </row>
    <row r="218" spans="10:19" ht="16">
      <c r="J218" s="5" t="str" cm="1">
        <f t="array" ref="J2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8"/>
    </row>
    <row r="219" spans="10:19" ht="16">
      <c r="J219" s="5" t="str" cm="1">
        <f t="array" ref="J2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19"/>
    </row>
    <row r="220" spans="10:19" ht="16">
      <c r="J220" s="5" t="str" cm="1">
        <f t="array" ref="J2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0"/>
    </row>
    <row r="221" spans="10:19" ht="16">
      <c r="J221" s="5" t="str" cm="1">
        <f t="array" ref="J2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1"/>
    </row>
    <row r="222" spans="10:19" ht="16">
      <c r="J222" s="5" t="str" cm="1">
        <f t="array" ref="J2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2"/>
    </row>
    <row r="223" spans="10:19" ht="16">
      <c r="J223" s="5" t="str" cm="1">
        <f t="array" ref="J2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3"/>
    </row>
    <row r="224" spans="10:19" ht="16">
      <c r="J224" s="5" t="str" cm="1">
        <f t="array" ref="J2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4"/>
    </row>
    <row r="225" spans="10:19" ht="16">
      <c r="J225" s="5" t="str" cm="1">
        <f t="array" ref="J2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5"/>
    </row>
    <row r="226" spans="10:19" ht="16">
      <c r="J226" s="5" t="str" cm="1">
        <f t="array" ref="J2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6"/>
    </row>
    <row r="227" spans="10:19" ht="16">
      <c r="J227" s="5" t="str" cm="1">
        <f t="array" ref="J2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7"/>
    </row>
    <row r="228" spans="10:19" ht="16">
      <c r="J228" s="5" t="str" cm="1">
        <f t="array" ref="J2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8"/>
    </row>
    <row r="229" spans="10:19" ht="16">
      <c r="J229" s="5" t="str" cm="1">
        <f t="array" ref="J2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29"/>
    </row>
    <row r="230" spans="10:19" ht="16">
      <c r="J230" s="5" t="str" cm="1">
        <f t="array" ref="J2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0"/>
    </row>
    <row r="231" spans="10:19" ht="16">
      <c r="J231" s="5" t="str" cm="1">
        <f t="array" ref="J2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1"/>
    </row>
    <row r="232" spans="10:19" ht="16">
      <c r="J232" s="5" t="str" cm="1">
        <f t="array" ref="J2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2"/>
    </row>
    <row r="233" spans="10:19" ht="16">
      <c r="J233" s="5" t="str" cm="1">
        <f t="array" ref="J2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3"/>
    </row>
    <row r="234" spans="10:19" ht="16">
      <c r="J234" s="5" t="str" cm="1">
        <f t="array" ref="J2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4"/>
    </row>
    <row r="235" spans="10:19" ht="16">
      <c r="J235" s="5" t="str" cm="1">
        <f t="array" ref="J2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5"/>
    </row>
    <row r="236" spans="10:19" ht="16">
      <c r="J236" s="5" t="str" cm="1">
        <f t="array" ref="J2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6"/>
    </row>
    <row r="237" spans="10:19" ht="16">
      <c r="J237" s="5" t="str" cm="1">
        <f t="array" ref="J2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7"/>
    </row>
    <row r="238" spans="10:19" ht="16">
      <c r="J238" s="5" t="str" cm="1">
        <f t="array" ref="J2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8"/>
    </row>
    <row r="239" spans="10:19" ht="16">
      <c r="J239" s="5" t="str" cm="1">
        <f t="array" ref="J2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39"/>
    </row>
    <row r="240" spans="10:19" ht="16">
      <c r="J240" s="5" t="str" cm="1">
        <f t="array" ref="J2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0"/>
    </row>
    <row r="241" spans="10:19" ht="16">
      <c r="J241" s="5" t="str" cm="1">
        <f t="array" ref="J2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1"/>
    </row>
    <row r="242" spans="10:19" ht="16">
      <c r="J242" s="5" t="str" cm="1">
        <f t="array" ref="J2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2"/>
    </row>
    <row r="243" spans="10:19" ht="16">
      <c r="J243" s="5" t="str" cm="1">
        <f t="array" ref="J2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3"/>
    </row>
    <row r="244" spans="10:19" ht="16">
      <c r="J244" s="5" t="str" cm="1">
        <f t="array" ref="J2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4"/>
    </row>
    <row r="245" spans="10:19" ht="16">
      <c r="J245" s="5" t="str" cm="1">
        <f t="array" ref="J2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5"/>
    </row>
    <row r="246" spans="10:19" ht="16">
      <c r="J246" s="5" t="str" cm="1">
        <f t="array" ref="J2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6"/>
    </row>
    <row r="247" spans="10:19" ht="16">
      <c r="J247" s="5" t="str" cm="1">
        <f t="array" ref="J2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7"/>
    </row>
    <row r="248" spans="10:19" ht="16">
      <c r="J248" s="5" t="str" cm="1">
        <f t="array" ref="J2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8"/>
    </row>
    <row r="249" spans="10:19" ht="16">
      <c r="J249" s="5" t="str" cm="1">
        <f t="array" ref="J2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49"/>
    </row>
    <row r="250" spans="10:19" ht="16">
      <c r="J250" s="5" t="str" cm="1">
        <f t="array" ref="J2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0"/>
    </row>
    <row r="251" spans="10:19" ht="16">
      <c r="J251" s="5" t="str" cm="1">
        <f t="array" ref="J2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1"/>
    </row>
    <row r="252" spans="10:19" ht="16">
      <c r="J252" s="5" t="str" cm="1">
        <f t="array" ref="J2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2"/>
    </row>
    <row r="253" spans="10:19" ht="16">
      <c r="J253" s="5" t="str" cm="1">
        <f t="array" ref="J2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3"/>
    </row>
    <row r="254" spans="10:19" ht="16">
      <c r="J254" s="5" t="str" cm="1">
        <f t="array" ref="J2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4"/>
    </row>
    <row r="255" spans="10:19" ht="16">
      <c r="J255" s="5" t="str" cm="1">
        <f t="array" ref="J2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5"/>
    </row>
    <row r="256" spans="10:19" ht="16">
      <c r="J256" s="5" t="str" cm="1">
        <f t="array" ref="J2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6"/>
    </row>
    <row r="257" spans="10:19" ht="16">
      <c r="J257" s="5" t="str" cm="1">
        <f t="array" ref="J2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7"/>
    </row>
    <row r="258" spans="10:19" ht="16">
      <c r="J258" s="5" t="str" cm="1">
        <f t="array" ref="J2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8"/>
    </row>
    <row r="259" spans="10:19" ht="16">
      <c r="J259" s="5" t="str" cm="1">
        <f t="array" ref="J2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59"/>
    </row>
    <row r="260" spans="10:19" ht="16">
      <c r="J260" s="5" t="str" cm="1">
        <f t="array" ref="J2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0"/>
    </row>
    <row r="261" spans="10:19" ht="16">
      <c r="J261" s="5" t="str" cm="1">
        <f t="array" ref="J2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1"/>
    </row>
    <row r="262" spans="10:19" ht="16">
      <c r="J262" s="5" t="str" cm="1">
        <f t="array" ref="J2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2"/>
    </row>
    <row r="263" spans="10:19" ht="16">
      <c r="J263" s="5" t="str" cm="1">
        <f t="array" ref="J2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3"/>
    </row>
    <row r="264" spans="10:19" ht="16">
      <c r="J264" s="5" t="str" cm="1">
        <f t="array" ref="J2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4"/>
    </row>
    <row r="265" spans="10:19" ht="16">
      <c r="J265" s="5" t="str" cm="1">
        <f t="array" ref="J2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5"/>
    </row>
    <row r="266" spans="10:19" ht="16">
      <c r="J266" s="5" t="str" cm="1">
        <f t="array" ref="J2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6"/>
    </row>
    <row r="267" spans="10:19" ht="16">
      <c r="J267" s="5" t="str" cm="1">
        <f t="array" ref="J2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7"/>
    </row>
    <row r="268" spans="10:19" ht="16">
      <c r="J268" s="5" t="str" cm="1">
        <f t="array" ref="J2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8"/>
    </row>
    <row r="269" spans="10:19" ht="16">
      <c r="J269" s="5" t="str" cm="1">
        <f t="array" ref="J2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69"/>
    </row>
    <row r="270" spans="10:19" ht="16">
      <c r="J270" s="5" t="str" cm="1">
        <f t="array" ref="J2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0"/>
    </row>
    <row r="271" spans="10:19" ht="16">
      <c r="J271" s="5" t="str" cm="1">
        <f t="array" ref="J2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1"/>
    </row>
    <row r="272" spans="10:19" ht="16">
      <c r="J272" s="5" t="str" cm="1">
        <f t="array" ref="J2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2"/>
    </row>
    <row r="273" spans="10:19" ht="16">
      <c r="J273" s="5" t="str" cm="1">
        <f t="array" ref="J2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3"/>
    </row>
    <row r="274" spans="10:19" ht="16">
      <c r="J274" s="5" t="str" cm="1">
        <f t="array" ref="J2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4"/>
    </row>
    <row r="275" spans="10:19" ht="16">
      <c r="J275" s="5" t="str" cm="1">
        <f t="array" ref="J2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5"/>
    </row>
    <row r="276" spans="10:19" ht="16">
      <c r="J276" s="5" t="str" cm="1">
        <f t="array" ref="J2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6"/>
    </row>
    <row r="277" spans="10:19" ht="16">
      <c r="J277" s="5" t="str" cm="1">
        <f t="array" ref="J2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7"/>
    </row>
    <row r="278" spans="10:19" ht="16">
      <c r="J278" s="5" t="str" cm="1">
        <f t="array" ref="J2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8"/>
    </row>
    <row r="279" spans="10:19" ht="16">
      <c r="J279" s="5" t="str" cm="1">
        <f t="array" ref="J2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79"/>
    </row>
    <row r="280" spans="10:19" ht="16">
      <c r="J280" s="5" t="str" cm="1">
        <f t="array" ref="J2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0"/>
    </row>
    <row r="281" spans="10:19" ht="16">
      <c r="J281" s="5" t="str" cm="1">
        <f t="array" ref="J2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1"/>
    </row>
    <row r="282" spans="10:19" ht="16">
      <c r="J282" s="5" t="str" cm="1">
        <f t="array" ref="J2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2"/>
    </row>
    <row r="283" spans="10:19" ht="16">
      <c r="J283" s="5" t="str" cm="1">
        <f t="array" ref="J2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3"/>
    </row>
    <row r="284" spans="10:19" ht="16">
      <c r="J284" s="5" t="str" cm="1">
        <f t="array" ref="J2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4"/>
    </row>
    <row r="285" spans="10:19" ht="16">
      <c r="J285" s="5" t="str" cm="1">
        <f t="array" ref="J2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5"/>
    </row>
    <row r="286" spans="10:19" ht="16">
      <c r="J286" s="5" t="str" cm="1">
        <f t="array" ref="J2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6"/>
    </row>
    <row r="287" spans="10:19" ht="16">
      <c r="J287" s="5" t="str" cm="1">
        <f t="array" ref="J2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7"/>
    </row>
    <row r="288" spans="10:19" ht="16">
      <c r="J288" s="5" t="str" cm="1">
        <f t="array" ref="J2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8"/>
    </row>
    <row r="289" spans="10:19" ht="16">
      <c r="J289" s="5" t="str" cm="1">
        <f t="array" ref="J2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89"/>
    </row>
    <row r="290" spans="10:19" ht="16">
      <c r="J290" s="5" t="str" cm="1">
        <f t="array" ref="J2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0"/>
    </row>
    <row r="291" spans="10:19" ht="16">
      <c r="J291" s="5" t="str" cm="1">
        <f t="array" ref="J2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1"/>
    </row>
    <row r="292" spans="10:19" ht="16">
      <c r="J292" s="5" t="str" cm="1">
        <f t="array" ref="J2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2"/>
    </row>
    <row r="293" spans="10:19" ht="16">
      <c r="J293" s="5" t="str" cm="1">
        <f t="array" ref="J2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3"/>
    </row>
    <row r="294" spans="10:19" ht="16">
      <c r="J294" s="5" t="str" cm="1">
        <f t="array" ref="J2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4"/>
    </row>
    <row r="295" spans="10:19" ht="16">
      <c r="J295" s="5" t="str" cm="1">
        <f t="array" ref="J2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5"/>
    </row>
    <row r="296" spans="10:19" ht="16">
      <c r="J296" s="5" t="str" cm="1">
        <f t="array" ref="J2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6"/>
    </row>
    <row r="297" spans="10:19" ht="16">
      <c r="J297" s="5" t="str" cm="1">
        <f t="array" ref="J2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7"/>
    </row>
    <row r="298" spans="10:19" ht="16">
      <c r="J298" s="5" t="str" cm="1">
        <f t="array" ref="J2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8"/>
    </row>
    <row r="299" spans="10:19" ht="16">
      <c r="J299" s="5" t="str" cm="1">
        <f t="array" ref="J2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299"/>
    </row>
    <row r="300" spans="10:19" ht="16">
      <c r="J300" s="5" t="str" cm="1">
        <f t="array" ref="J3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0"/>
    </row>
    <row r="301" spans="10:19" ht="16">
      <c r="J301" s="5" t="str" cm="1">
        <f t="array" ref="J3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1"/>
    </row>
    <row r="302" spans="10:19" ht="16">
      <c r="J302" s="5" t="str" cm="1">
        <f t="array" ref="J3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2"/>
    </row>
    <row r="303" spans="10:19" ht="16">
      <c r="J303" s="5" t="str" cm="1">
        <f t="array" ref="J3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3"/>
    </row>
    <row r="304" spans="10:19" ht="16">
      <c r="J304" s="5" t="str" cm="1">
        <f t="array" ref="J3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4"/>
    </row>
    <row r="305" spans="10:19" ht="16">
      <c r="J305" s="5" t="str" cm="1">
        <f t="array" ref="J3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5"/>
    </row>
    <row r="306" spans="10:19" ht="16">
      <c r="J306" s="5" t="str" cm="1">
        <f t="array" ref="J3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6"/>
    </row>
    <row r="307" spans="10:19" ht="16">
      <c r="J307" s="5" t="str" cm="1">
        <f t="array" ref="J3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7"/>
    </row>
    <row r="308" spans="10:19" ht="16">
      <c r="J308" s="5" t="str" cm="1">
        <f t="array" ref="J3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8"/>
    </row>
    <row r="309" spans="10:19" ht="16">
      <c r="J309" s="5" t="str" cm="1">
        <f t="array" ref="J3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09"/>
    </row>
    <row r="310" spans="10:19" ht="16">
      <c r="J310" s="5" t="str" cm="1">
        <f t="array" ref="J3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0"/>
    </row>
    <row r="311" spans="10:19" ht="16">
      <c r="J311" s="5" t="str" cm="1">
        <f t="array" ref="J3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1"/>
    </row>
    <row r="312" spans="10:19" ht="16">
      <c r="J312" s="5" t="str" cm="1">
        <f t="array" ref="J3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2"/>
    </row>
    <row r="313" spans="10:19" ht="16">
      <c r="J313" s="5" t="str" cm="1">
        <f t="array" ref="J3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3"/>
    </row>
    <row r="314" spans="10:19" ht="16">
      <c r="J314" s="5" t="str" cm="1">
        <f t="array" ref="J3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4"/>
    </row>
    <row r="315" spans="10:19" ht="16">
      <c r="J315" s="5" t="str" cm="1">
        <f t="array" ref="J3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5"/>
    </row>
    <row r="316" spans="10:19" ht="16">
      <c r="J316" s="5" t="str" cm="1">
        <f t="array" ref="J3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6"/>
    </row>
    <row r="317" spans="10:19" ht="16">
      <c r="J317" s="5" t="str" cm="1">
        <f t="array" ref="J3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7"/>
    </row>
    <row r="318" spans="10:19" ht="16">
      <c r="J318" s="5" t="str" cm="1">
        <f t="array" ref="J3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8"/>
    </row>
    <row r="319" spans="10:19" ht="16">
      <c r="J319" s="5" t="str" cm="1">
        <f t="array" ref="J3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19"/>
    </row>
    <row r="320" spans="10:19" ht="16">
      <c r="J320" s="5" t="str" cm="1">
        <f t="array" ref="J3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0"/>
    </row>
    <row r="321" spans="10:19" ht="16">
      <c r="J321" s="5" t="str" cm="1">
        <f t="array" ref="J3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1"/>
    </row>
    <row r="322" spans="10:19" ht="16">
      <c r="J322" s="5" t="str" cm="1">
        <f t="array" ref="J3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2"/>
    </row>
    <row r="323" spans="10:19" ht="16">
      <c r="J323" s="5" t="str" cm="1">
        <f t="array" ref="J3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3"/>
    </row>
    <row r="324" spans="10:19" ht="16">
      <c r="J324" s="5" t="str" cm="1">
        <f t="array" ref="J3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4"/>
    </row>
    <row r="325" spans="10:19" ht="16">
      <c r="J325" s="5" t="str" cm="1">
        <f t="array" ref="J3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5"/>
    </row>
    <row r="326" spans="10:19" ht="16">
      <c r="J326" s="5" t="str" cm="1">
        <f t="array" ref="J3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6"/>
    </row>
    <row r="327" spans="10:19" ht="16">
      <c r="J327" s="5" t="str" cm="1">
        <f t="array" ref="J3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7"/>
    </row>
    <row r="328" spans="10:19" ht="16">
      <c r="J328" s="5" t="str" cm="1">
        <f t="array" ref="J3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8"/>
    </row>
    <row r="329" spans="10:19" ht="16">
      <c r="J329" s="5" t="str" cm="1">
        <f t="array" ref="J3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29"/>
    </row>
    <row r="330" spans="10:19" ht="16">
      <c r="J330" s="5" t="str" cm="1">
        <f t="array" ref="J3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0"/>
    </row>
    <row r="331" spans="10:19" ht="16">
      <c r="J331" s="5" t="str" cm="1">
        <f t="array" ref="J3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1"/>
    </row>
    <row r="332" spans="10:19" ht="16">
      <c r="J332" s="5" t="str" cm="1">
        <f t="array" ref="J3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2"/>
    </row>
    <row r="333" spans="10:19" ht="16">
      <c r="J333" s="5" t="str" cm="1">
        <f t="array" ref="J3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3"/>
    </row>
    <row r="334" spans="10:19" ht="16">
      <c r="J334" s="5" t="str" cm="1">
        <f t="array" ref="J3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4"/>
    </row>
    <row r="335" spans="10:19" ht="16">
      <c r="J335" s="5" t="str" cm="1">
        <f t="array" ref="J3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5"/>
    </row>
    <row r="336" spans="10:19" ht="16">
      <c r="J336" s="5" t="str" cm="1">
        <f t="array" ref="J3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6"/>
    </row>
    <row r="337" spans="10:19" ht="16">
      <c r="J337" s="5" t="str" cm="1">
        <f t="array" ref="J3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7"/>
    </row>
    <row r="338" spans="10:19" ht="16">
      <c r="J338" s="5" t="str" cm="1">
        <f t="array" ref="J3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8"/>
    </row>
    <row r="339" spans="10:19" ht="16">
      <c r="J339" s="5" t="str" cm="1">
        <f t="array" ref="J3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39"/>
    </row>
    <row r="340" spans="10:19" ht="16">
      <c r="J340" s="5" t="str" cm="1">
        <f t="array" ref="J3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0"/>
    </row>
    <row r="341" spans="10:19" ht="16">
      <c r="J341" s="5" t="str" cm="1">
        <f t="array" ref="J3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1"/>
    </row>
    <row r="342" spans="10:19" ht="16">
      <c r="J342" s="5" t="str" cm="1">
        <f t="array" ref="J3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2"/>
    </row>
    <row r="343" spans="10:19" ht="16">
      <c r="J343" s="5" t="str" cm="1">
        <f t="array" ref="J3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3"/>
    </row>
    <row r="344" spans="10:19" ht="16">
      <c r="J344" s="5" t="str" cm="1">
        <f t="array" ref="J3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4"/>
    </row>
    <row r="345" spans="10:19" ht="16">
      <c r="J345" s="5" t="str" cm="1">
        <f t="array" ref="J3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5"/>
    </row>
    <row r="346" spans="10:19" ht="16">
      <c r="J346" s="5" t="str" cm="1">
        <f t="array" ref="J3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6"/>
    </row>
    <row r="347" spans="10:19" ht="16">
      <c r="J347" s="5" t="str" cm="1">
        <f t="array" ref="J3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7"/>
    </row>
    <row r="348" spans="10:19" ht="16">
      <c r="J348" s="5" t="str" cm="1">
        <f t="array" ref="J3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8"/>
    </row>
    <row r="349" spans="10:19" ht="16">
      <c r="J349" s="5" t="str" cm="1">
        <f t="array" ref="J3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49"/>
    </row>
    <row r="350" spans="10:19" ht="16">
      <c r="J350" s="5" t="str" cm="1">
        <f t="array" ref="J3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0"/>
    </row>
    <row r="351" spans="10:19" ht="16">
      <c r="J351" s="5" t="str" cm="1">
        <f t="array" ref="J3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1"/>
    </row>
    <row r="352" spans="10:19" ht="16">
      <c r="J352" s="5" t="str" cm="1">
        <f t="array" ref="J3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2"/>
    </row>
    <row r="353" spans="10:19" ht="16">
      <c r="J353" s="5" t="str" cm="1">
        <f t="array" ref="J3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3"/>
    </row>
    <row r="354" spans="10:19" ht="16">
      <c r="J354" s="5" t="str" cm="1">
        <f t="array" ref="J3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4"/>
    </row>
    <row r="355" spans="10:19" ht="16">
      <c r="J355" s="5" t="str" cm="1">
        <f t="array" ref="J3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5"/>
    </row>
    <row r="356" spans="10:19" ht="16">
      <c r="J356" s="5" t="str" cm="1">
        <f t="array" ref="J3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6"/>
    </row>
    <row r="357" spans="10:19" ht="16">
      <c r="J357" s="5" t="str" cm="1">
        <f t="array" ref="J3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7"/>
    </row>
    <row r="358" spans="10:19" ht="16">
      <c r="J358" s="5" t="str" cm="1">
        <f t="array" ref="J3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8"/>
    </row>
    <row r="359" spans="10:19" ht="16">
      <c r="J359" s="5" t="str" cm="1">
        <f t="array" ref="J3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59"/>
    </row>
    <row r="360" spans="10:19" ht="16">
      <c r="J360" s="5" t="str" cm="1">
        <f t="array" ref="J3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0"/>
    </row>
    <row r="361" spans="10:19" ht="16">
      <c r="J361" s="5" t="str" cm="1">
        <f t="array" ref="J3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1"/>
    </row>
    <row r="362" spans="10:19" ht="16">
      <c r="J362" s="5" t="str" cm="1">
        <f t="array" ref="J3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2"/>
    </row>
    <row r="363" spans="10:19" ht="16">
      <c r="J363" s="5" t="str" cm="1">
        <f t="array" ref="J3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3"/>
    </row>
    <row r="364" spans="10:19" ht="16">
      <c r="J364" s="5" t="str" cm="1">
        <f t="array" ref="J3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4"/>
    </row>
    <row r="365" spans="10:19" ht="16">
      <c r="J365" s="5" t="str" cm="1">
        <f t="array" ref="J3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5"/>
    </row>
    <row r="366" spans="10:19" ht="16">
      <c r="J366" s="5" t="str" cm="1">
        <f t="array" ref="J3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6"/>
    </row>
    <row r="367" spans="10:19" ht="16">
      <c r="J367" s="5" t="str" cm="1">
        <f t="array" ref="J3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7"/>
    </row>
    <row r="368" spans="10:19" ht="16">
      <c r="J368" s="5" t="str" cm="1">
        <f t="array" ref="J3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8"/>
    </row>
    <row r="369" spans="10:19" ht="16">
      <c r="J369" s="5" t="str" cm="1">
        <f t="array" ref="J3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69"/>
    </row>
    <row r="370" spans="10:19" ht="16">
      <c r="J370" s="5" t="str" cm="1">
        <f t="array" ref="J3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0"/>
    </row>
    <row r="371" spans="10:19" ht="16">
      <c r="J371" s="5" t="str" cm="1">
        <f t="array" ref="J3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1"/>
    </row>
    <row r="372" spans="10:19" ht="16">
      <c r="J372" s="5" t="str" cm="1">
        <f t="array" ref="J3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2"/>
    </row>
    <row r="373" spans="10:19" ht="16">
      <c r="J373" s="5" t="str" cm="1">
        <f t="array" ref="J3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3"/>
    </row>
    <row r="374" spans="10:19" ht="16">
      <c r="J374" s="5" t="str" cm="1">
        <f t="array" ref="J3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4"/>
    </row>
    <row r="375" spans="10:19" ht="16">
      <c r="J375" s="5" t="str" cm="1">
        <f t="array" ref="J3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5"/>
    </row>
    <row r="376" spans="10:19" ht="16">
      <c r="J376" s="5" t="str" cm="1">
        <f t="array" ref="J3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6"/>
    </row>
    <row r="377" spans="10:19" ht="16">
      <c r="J377" s="5" t="str" cm="1">
        <f t="array" ref="J3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7"/>
    </row>
    <row r="378" spans="10:19" ht="16">
      <c r="J378" s="5" t="str" cm="1">
        <f t="array" ref="J3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8"/>
    </row>
    <row r="379" spans="10:19" ht="16">
      <c r="J379" s="5" t="str" cm="1">
        <f t="array" ref="J3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79"/>
    </row>
    <row r="380" spans="10:19" ht="16">
      <c r="J380" s="5" t="str" cm="1">
        <f t="array" ref="J3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0"/>
    </row>
    <row r="381" spans="10:19" ht="16">
      <c r="J381" s="5" t="str" cm="1">
        <f t="array" ref="J3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1"/>
    </row>
    <row r="382" spans="10:19" ht="16">
      <c r="J382" s="5" t="str" cm="1">
        <f t="array" ref="J3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2"/>
    </row>
    <row r="383" spans="10:19" ht="16">
      <c r="J383" s="5" t="str" cm="1">
        <f t="array" ref="J3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3"/>
    </row>
    <row r="384" spans="10:19" ht="16">
      <c r="J384" s="5" t="str" cm="1">
        <f t="array" ref="J3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4"/>
    </row>
    <row r="385" spans="10:19" ht="16">
      <c r="J385" s="5" t="str" cm="1">
        <f t="array" ref="J3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5"/>
    </row>
    <row r="386" spans="10:19" ht="16">
      <c r="J386" s="5" t="str" cm="1">
        <f t="array" ref="J3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6"/>
    </row>
    <row r="387" spans="10:19" ht="16">
      <c r="J387" s="5" t="str" cm="1">
        <f t="array" ref="J3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7"/>
    </row>
    <row r="388" spans="10:19" ht="16">
      <c r="J388" s="5" t="str" cm="1">
        <f t="array" ref="J3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8"/>
    </row>
    <row r="389" spans="10:19" ht="16">
      <c r="J389" s="5" t="str" cm="1">
        <f t="array" ref="J3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89"/>
    </row>
    <row r="390" spans="10:19" ht="16">
      <c r="J390" s="5" t="str" cm="1">
        <f t="array" ref="J3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0"/>
    </row>
    <row r="391" spans="10:19" ht="16">
      <c r="J391" s="5" t="str" cm="1">
        <f t="array" ref="J3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1"/>
    </row>
    <row r="392" spans="10:19" ht="16">
      <c r="J392" s="5" t="str" cm="1">
        <f t="array" ref="J3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2"/>
    </row>
    <row r="393" spans="10:19" ht="16">
      <c r="J393" s="5" t="str" cm="1">
        <f t="array" ref="J3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3"/>
    </row>
    <row r="394" spans="10:19" ht="16">
      <c r="J394" s="5" t="str" cm="1">
        <f t="array" ref="J3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4"/>
    </row>
    <row r="395" spans="10:19" ht="16">
      <c r="J395" s="5" t="str" cm="1">
        <f t="array" ref="J3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5"/>
    </row>
    <row r="396" spans="10:19" ht="16">
      <c r="J396" s="5" t="str" cm="1">
        <f t="array" ref="J3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6"/>
    </row>
    <row r="397" spans="10:19" ht="16">
      <c r="J397" s="5" t="str" cm="1">
        <f t="array" ref="J3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7"/>
    </row>
    <row r="398" spans="10:19" ht="16">
      <c r="J398" s="5" t="str" cm="1">
        <f t="array" ref="J3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8"/>
    </row>
    <row r="399" spans="10:19" ht="16">
      <c r="J399" s="5" t="str" cm="1">
        <f t="array" ref="J3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399"/>
    </row>
    <row r="400" spans="10:19" ht="16">
      <c r="J400" s="5" t="str" cm="1">
        <f t="array" ref="J4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0"/>
    </row>
    <row r="401" spans="10:19" ht="16">
      <c r="J401" s="5" t="str" cm="1">
        <f t="array" ref="J4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1"/>
    </row>
    <row r="402" spans="10:19" ht="16">
      <c r="J402" s="5" t="str" cm="1">
        <f t="array" ref="J4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2"/>
    </row>
    <row r="403" spans="10:19" ht="16">
      <c r="J403" s="5" t="str" cm="1">
        <f t="array" ref="J4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3"/>
    </row>
    <row r="404" spans="10:19" ht="16">
      <c r="J404" s="5" t="str" cm="1">
        <f t="array" ref="J4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4"/>
    </row>
    <row r="405" spans="10:19" ht="16">
      <c r="J405" s="5" t="str" cm="1">
        <f t="array" ref="J4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5"/>
    </row>
    <row r="406" spans="10:19" ht="16">
      <c r="J406" s="5" t="str" cm="1">
        <f t="array" ref="J4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6"/>
    </row>
    <row r="407" spans="10:19" ht="16">
      <c r="J407" s="5" t="str" cm="1">
        <f t="array" ref="J4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7"/>
    </row>
    <row r="408" spans="10:19" ht="16">
      <c r="J408" s="5" t="str" cm="1">
        <f t="array" ref="J4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8"/>
    </row>
    <row r="409" spans="10:19" ht="16">
      <c r="J409" s="5" t="str" cm="1">
        <f t="array" ref="J4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09"/>
    </row>
    <row r="410" spans="10:19" ht="16">
      <c r="J410" s="5" t="str" cm="1">
        <f t="array" ref="J4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0"/>
    </row>
    <row r="411" spans="10:19" ht="16">
      <c r="J411" s="5" t="str" cm="1">
        <f t="array" ref="J4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1"/>
    </row>
    <row r="412" spans="10:19" ht="16">
      <c r="J412" s="5" t="str" cm="1">
        <f t="array" ref="J4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2"/>
    </row>
    <row r="413" spans="10:19" ht="16">
      <c r="J413" s="5" t="str" cm="1">
        <f t="array" ref="J4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3"/>
    </row>
    <row r="414" spans="10:19" ht="16">
      <c r="J414" s="5" t="str" cm="1">
        <f t="array" ref="J4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4"/>
    </row>
    <row r="415" spans="10:19" ht="16">
      <c r="J415" s="5" t="str" cm="1">
        <f t="array" ref="J4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5"/>
    </row>
    <row r="416" spans="10:19" ht="16">
      <c r="J416" s="5" t="str" cm="1">
        <f t="array" ref="J4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6"/>
    </row>
    <row r="417" spans="10:19" ht="16">
      <c r="J417" s="5" t="str" cm="1">
        <f t="array" ref="J4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7"/>
    </row>
    <row r="418" spans="10:19" ht="16">
      <c r="J418" s="5" t="str" cm="1">
        <f t="array" ref="J4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8"/>
    </row>
    <row r="419" spans="10:19" ht="16">
      <c r="J419" s="5" t="str" cm="1">
        <f t="array" ref="J4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19"/>
    </row>
    <row r="420" spans="10:19" ht="16">
      <c r="J420" s="5" t="str" cm="1">
        <f t="array" ref="J4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0"/>
    </row>
    <row r="421" spans="10:19" ht="16">
      <c r="J421" s="5" t="str" cm="1">
        <f t="array" ref="J4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1"/>
    </row>
    <row r="422" spans="10:19" ht="16">
      <c r="J422" s="5" t="str" cm="1">
        <f t="array" ref="J4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2"/>
    </row>
    <row r="423" spans="10:19" ht="16">
      <c r="J423" s="5" t="str" cm="1">
        <f t="array" ref="J4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3"/>
    </row>
    <row r="424" spans="10:19" ht="16">
      <c r="J424" s="5" t="str" cm="1">
        <f t="array" ref="J4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4"/>
    </row>
    <row r="425" spans="10:19" ht="16">
      <c r="J425" s="5" t="str" cm="1">
        <f t="array" ref="J4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5"/>
    </row>
    <row r="426" spans="10:19" ht="16">
      <c r="J426" s="5" t="str" cm="1">
        <f t="array" ref="J4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6"/>
    </row>
    <row r="427" spans="10:19" ht="16">
      <c r="J427" s="5" t="str" cm="1">
        <f t="array" ref="J4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7"/>
    </row>
    <row r="428" spans="10:19" ht="16">
      <c r="J428" s="5" t="str" cm="1">
        <f t="array" ref="J4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8"/>
    </row>
    <row r="429" spans="10:19" ht="16">
      <c r="J429" s="5" t="str" cm="1">
        <f t="array" ref="J4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29"/>
    </row>
    <row r="430" spans="10:19" ht="16">
      <c r="J430" s="5" t="str" cm="1">
        <f t="array" ref="J4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0"/>
    </row>
    <row r="431" spans="10:19" ht="16">
      <c r="J431" s="5" t="str" cm="1">
        <f t="array" ref="J4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1"/>
    </row>
    <row r="432" spans="10:19" ht="16">
      <c r="J432" s="5" t="str" cm="1">
        <f t="array" ref="J4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2"/>
    </row>
    <row r="433" spans="10:19" ht="16">
      <c r="J433" s="5" t="str" cm="1">
        <f t="array" ref="J4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3"/>
    </row>
    <row r="434" spans="10:19" ht="16">
      <c r="J434" s="5" t="str" cm="1">
        <f t="array" ref="J4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4"/>
    </row>
    <row r="435" spans="10:19" ht="16">
      <c r="J435" s="5" t="str" cm="1">
        <f t="array" ref="J4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5"/>
    </row>
    <row r="436" spans="10:19" ht="16">
      <c r="J436" s="5" t="str" cm="1">
        <f t="array" ref="J4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6"/>
    </row>
    <row r="437" spans="10:19" ht="16">
      <c r="J437" s="5" t="str" cm="1">
        <f t="array" ref="J4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7"/>
    </row>
    <row r="438" spans="10:19" ht="16">
      <c r="J438" s="5" t="str" cm="1">
        <f t="array" ref="J4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8"/>
    </row>
    <row r="439" spans="10:19" ht="16">
      <c r="J439" s="5" t="str" cm="1">
        <f t="array" ref="J4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39"/>
    </row>
    <row r="440" spans="10:19" ht="16">
      <c r="J440" s="5" t="str" cm="1">
        <f t="array" ref="J4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0"/>
    </row>
    <row r="441" spans="10:19" ht="16">
      <c r="J441" s="5" t="str" cm="1">
        <f t="array" ref="J4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1"/>
    </row>
    <row r="442" spans="10:19" ht="16">
      <c r="J442" s="5" t="str" cm="1">
        <f t="array" ref="J4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2"/>
    </row>
    <row r="443" spans="10:19" ht="16">
      <c r="J443" s="5" t="str" cm="1">
        <f t="array" ref="J4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3"/>
    </row>
    <row r="444" spans="10:19" ht="16">
      <c r="J444" s="5" t="str" cm="1">
        <f t="array" ref="J4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4"/>
    </row>
    <row r="445" spans="10:19" ht="16">
      <c r="J445" s="5" t="str" cm="1">
        <f t="array" ref="J4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5"/>
    </row>
    <row r="446" spans="10:19" ht="16">
      <c r="J446" s="5" t="str" cm="1">
        <f t="array" ref="J4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6"/>
    </row>
    <row r="447" spans="10:19" ht="16">
      <c r="J447" s="5" t="str" cm="1">
        <f t="array" ref="J4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7"/>
    </row>
    <row r="448" spans="10:19" ht="16">
      <c r="J448" s="5" t="str" cm="1">
        <f t="array" ref="J4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8"/>
    </row>
    <row r="449" spans="10:19" ht="16">
      <c r="J449" s="5" t="str" cm="1">
        <f t="array" ref="J4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49"/>
    </row>
    <row r="450" spans="10:19" ht="16">
      <c r="J450" s="5" t="str" cm="1">
        <f t="array" ref="J4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0"/>
    </row>
    <row r="451" spans="10:19" ht="16">
      <c r="J451" s="5" t="str" cm="1">
        <f t="array" ref="J4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1"/>
    </row>
    <row r="452" spans="10:19" ht="16">
      <c r="J452" s="5" t="str" cm="1">
        <f t="array" ref="J4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2"/>
    </row>
    <row r="453" spans="10:19" ht="16">
      <c r="J453" s="5" t="str" cm="1">
        <f t="array" ref="J4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3"/>
    </row>
    <row r="454" spans="10:19" ht="16">
      <c r="J454" s="5" t="str" cm="1">
        <f t="array" ref="J4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4"/>
    </row>
    <row r="455" spans="10:19" ht="16">
      <c r="J455" s="5" t="str" cm="1">
        <f t="array" ref="J4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5"/>
    </row>
    <row r="456" spans="10:19" ht="16">
      <c r="J456" s="5" t="str" cm="1">
        <f t="array" ref="J4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6"/>
    </row>
    <row r="457" spans="10:19" ht="16">
      <c r="J457" s="5" t="str" cm="1">
        <f t="array" ref="J4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7"/>
    </row>
    <row r="458" spans="10:19" ht="16">
      <c r="J458" s="5" t="str" cm="1">
        <f t="array" ref="J4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8"/>
    </row>
    <row r="459" spans="10:19" ht="16">
      <c r="J459" s="5" t="str" cm="1">
        <f t="array" ref="J4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59"/>
    </row>
    <row r="460" spans="10:19" ht="16">
      <c r="J460" s="5" t="str" cm="1">
        <f t="array" ref="J4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0"/>
    </row>
    <row r="461" spans="10:19" ht="16">
      <c r="J461" s="5" t="str" cm="1">
        <f t="array" ref="J4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1"/>
    </row>
    <row r="462" spans="10:19" ht="16">
      <c r="J462" s="5" t="str" cm="1">
        <f t="array" ref="J4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2"/>
    </row>
    <row r="463" spans="10:19" ht="16">
      <c r="J463" s="5" t="str" cm="1">
        <f t="array" ref="J4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3"/>
    </row>
    <row r="464" spans="10:19" ht="16">
      <c r="J464" s="5" t="str" cm="1">
        <f t="array" ref="J4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4"/>
    </row>
    <row r="465" spans="10:19" ht="16">
      <c r="J465" s="5" t="str" cm="1">
        <f t="array" ref="J4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5"/>
    </row>
    <row r="466" spans="10:19" ht="16">
      <c r="J466" s="5" t="str" cm="1">
        <f t="array" ref="J4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6"/>
    </row>
    <row r="467" spans="10:19" ht="16">
      <c r="J467" s="5" t="str" cm="1">
        <f t="array" ref="J4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7"/>
    </row>
    <row r="468" spans="10:19" ht="16">
      <c r="J468" s="5" t="str" cm="1">
        <f t="array" ref="J4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8"/>
    </row>
    <row r="469" spans="10:19" ht="16">
      <c r="J469" s="5" t="str" cm="1">
        <f t="array" ref="J4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69"/>
    </row>
    <row r="470" spans="10:19" ht="16">
      <c r="J470" s="5" t="str" cm="1">
        <f t="array" ref="J4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0"/>
    </row>
    <row r="471" spans="10:19" ht="16">
      <c r="J471" s="5" t="str" cm="1">
        <f t="array" ref="J4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1"/>
    </row>
    <row r="472" spans="10:19" ht="16">
      <c r="J472" s="5" t="str" cm="1">
        <f t="array" ref="J4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2"/>
    </row>
    <row r="473" spans="10:19" ht="16">
      <c r="J473" s="5" t="str" cm="1">
        <f t="array" ref="J4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3"/>
    </row>
    <row r="474" spans="10:19" ht="16">
      <c r="J474" s="5" t="str" cm="1">
        <f t="array" ref="J4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4"/>
    </row>
    <row r="475" spans="10:19" ht="16">
      <c r="J475" s="5" t="str" cm="1">
        <f t="array" ref="J4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5"/>
    </row>
    <row r="476" spans="10:19" ht="16">
      <c r="J476" s="5" t="str" cm="1">
        <f t="array" ref="J4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6"/>
    </row>
    <row r="477" spans="10:19" ht="16">
      <c r="J477" s="5" t="str" cm="1">
        <f t="array" ref="J4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7"/>
    </row>
    <row r="478" spans="10:19" ht="16">
      <c r="J478" s="5" t="str" cm="1">
        <f t="array" ref="J4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8"/>
    </row>
    <row r="479" spans="10:19" ht="16">
      <c r="J479" s="5" t="str" cm="1">
        <f t="array" ref="J4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79"/>
    </row>
    <row r="480" spans="10:19" ht="16">
      <c r="J480" s="5" t="str" cm="1">
        <f t="array" ref="J4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0"/>
    </row>
    <row r="481" spans="10:19" ht="16">
      <c r="J481" s="5" t="str" cm="1">
        <f t="array" ref="J4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1"/>
    </row>
    <row r="482" spans="10:19" ht="16">
      <c r="J482" s="5" t="str" cm="1">
        <f t="array" ref="J4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2"/>
    </row>
    <row r="483" spans="10:19" ht="16">
      <c r="J483" s="5" t="str" cm="1">
        <f t="array" ref="J4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3"/>
    </row>
    <row r="484" spans="10:19" ht="16">
      <c r="J484" s="5" t="str" cm="1">
        <f t="array" ref="J4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4"/>
    </row>
    <row r="485" spans="10:19" ht="16">
      <c r="J485" s="5" t="str" cm="1">
        <f t="array" ref="J4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5"/>
    </row>
    <row r="486" spans="10:19" ht="16">
      <c r="J486" s="5" t="str" cm="1">
        <f t="array" ref="J4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6"/>
    </row>
    <row r="487" spans="10:19" ht="16">
      <c r="J487" s="5" t="str" cm="1">
        <f t="array" ref="J4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7"/>
    </row>
    <row r="488" spans="10:19" ht="16">
      <c r="J488" s="5" t="str" cm="1">
        <f t="array" ref="J4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8"/>
    </row>
    <row r="489" spans="10:19" ht="16">
      <c r="J489" s="5" t="str" cm="1">
        <f t="array" ref="J4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89"/>
    </row>
    <row r="490" spans="10:19" ht="16">
      <c r="J490" s="5" t="str" cm="1">
        <f t="array" ref="J4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0"/>
    </row>
    <row r="491" spans="10:19" ht="16">
      <c r="J491" s="5" t="str" cm="1">
        <f t="array" ref="J4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1"/>
    </row>
    <row r="492" spans="10:19" ht="16">
      <c r="J492" s="5" t="str" cm="1">
        <f t="array" ref="J4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2"/>
    </row>
    <row r="493" spans="10:19" ht="16">
      <c r="J493" s="5" t="str" cm="1">
        <f t="array" ref="J4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3"/>
    </row>
    <row r="494" spans="10:19" ht="16">
      <c r="J494" s="5" t="str" cm="1">
        <f t="array" ref="J4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4"/>
    </row>
    <row r="495" spans="10:19" ht="16">
      <c r="J495" s="5" t="str" cm="1">
        <f t="array" ref="J4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5"/>
    </row>
    <row r="496" spans="10:19" ht="16">
      <c r="J496" s="5" t="str" cm="1">
        <f t="array" ref="J4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6"/>
    </row>
    <row r="497" spans="10:19" ht="16">
      <c r="J497" s="5" t="str" cm="1">
        <f t="array" ref="J4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7"/>
    </row>
    <row r="498" spans="10:19" ht="16">
      <c r="J498" s="5" t="str" cm="1">
        <f t="array" ref="J4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8"/>
    </row>
    <row r="499" spans="10:19" ht="16">
      <c r="J499" s="5" t="str" cm="1">
        <f t="array" ref="J4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499"/>
    </row>
    <row r="500" spans="10:19" ht="16">
      <c r="J500" s="5" t="str" cm="1">
        <f t="array" ref="J5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0"/>
    </row>
    <row r="501" spans="10:19" ht="16">
      <c r="J501" s="5" t="str" cm="1">
        <f t="array" ref="J5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1"/>
    </row>
    <row r="502" spans="10:19" ht="16">
      <c r="J502" s="5" t="str" cm="1">
        <f t="array" ref="J5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2"/>
    </row>
    <row r="503" spans="10:19" ht="16">
      <c r="J503" s="5" t="str" cm="1">
        <f t="array" ref="J5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3"/>
    </row>
    <row r="504" spans="10:19" ht="16">
      <c r="J504" s="5" t="str" cm="1">
        <f t="array" ref="J5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4"/>
    </row>
    <row r="505" spans="10:19" ht="16">
      <c r="J505" s="5" t="str" cm="1">
        <f t="array" ref="J5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5"/>
    </row>
    <row r="506" spans="10:19" ht="16">
      <c r="J506" s="5" t="str" cm="1">
        <f t="array" ref="J5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6"/>
    </row>
    <row r="507" spans="10:19" ht="16">
      <c r="J507" s="5" t="str" cm="1">
        <f t="array" ref="J5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7"/>
    </row>
    <row r="508" spans="10:19" ht="16">
      <c r="J508" s="5" t="str" cm="1">
        <f t="array" ref="J5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8"/>
    </row>
    <row r="509" spans="10:19" ht="16">
      <c r="J509" s="5" t="str" cm="1">
        <f t="array" ref="J5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09"/>
    </row>
    <row r="510" spans="10:19" ht="16">
      <c r="J510" s="5" t="str" cm="1">
        <f t="array" ref="J5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0"/>
    </row>
    <row r="511" spans="10:19" ht="16">
      <c r="J511" s="5" t="str" cm="1">
        <f t="array" ref="J5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1"/>
    </row>
    <row r="512" spans="10:19" ht="16">
      <c r="J512" s="5" t="str" cm="1">
        <f t="array" ref="J5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2"/>
    </row>
    <row r="513" spans="10:19" ht="16">
      <c r="J513" s="5" t="str" cm="1">
        <f t="array" ref="J5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3"/>
    </row>
    <row r="514" spans="10:19" ht="16">
      <c r="J514" s="5" t="str" cm="1">
        <f t="array" ref="J5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4"/>
    </row>
    <row r="515" spans="10:19" ht="16">
      <c r="J515" s="5" t="str" cm="1">
        <f t="array" ref="J5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5"/>
    </row>
    <row r="516" spans="10:19" ht="16">
      <c r="J516" s="5" t="str" cm="1">
        <f t="array" ref="J5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6"/>
    </row>
    <row r="517" spans="10:19" ht="16">
      <c r="J517" s="5" t="str" cm="1">
        <f t="array" ref="J5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7"/>
    </row>
    <row r="518" spans="10:19" ht="16">
      <c r="J518" s="5" t="str" cm="1">
        <f t="array" ref="J5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8"/>
    </row>
    <row r="519" spans="10:19" ht="16">
      <c r="J519" s="5" t="str" cm="1">
        <f t="array" ref="J5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19"/>
    </row>
    <row r="520" spans="10:19" ht="16">
      <c r="J520" s="5" t="str" cm="1">
        <f t="array" ref="J5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0"/>
    </row>
    <row r="521" spans="10:19" ht="16">
      <c r="J521" s="5" t="str" cm="1">
        <f t="array" ref="J5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1"/>
    </row>
    <row r="522" spans="10:19" ht="16">
      <c r="J522" s="5" t="str" cm="1">
        <f t="array" ref="J5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2"/>
    </row>
    <row r="523" spans="10:19" ht="16">
      <c r="J523" s="5" t="str" cm="1">
        <f t="array" ref="J5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3"/>
    </row>
    <row r="524" spans="10:19" ht="16">
      <c r="J524" s="5" t="str" cm="1">
        <f t="array" ref="J5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4"/>
    </row>
    <row r="525" spans="10:19" ht="16">
      <c r="J525" s="5" t="str" cm="1">
        <f t="array" ref="J5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5"/>
    </row>
    <row r="526" spans="10:19" ht="16">
      <c r="J526" s="5" t="str" cm="1">
        <f t="array" ref="J5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6"/>
    </row>
    <row r="527" spans="10:19" ht="16">
      <c r="J527" s="5" t="str" cm="1">
        <f t="array" ref="J5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7"/>
    </row>
    <row r="528" spans="10:19" ht="16">
      <c r="J528" s="5" t="str" cm="1">
        <f t="array" ref="J5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8"/>
    </row>
    <row r="529" spans="10:19" ht="16">
      <c r="J529" s="5" t="str" cm="1">
        <f t="array" ref="J5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29"/>
    </row>
    <row r="530" spans="10:19" ht="16">
      <c r="J530" s="5" t="str" cm="1">
        <f t="array" ref="J5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0"/>
    </row>
    <row r="531" spans="10:19" ht="16">
      <c r="J531" s="5" t="str" cm="1">
        <f t="array" ref="J5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1"/>
    </row>
    <row r="532" spans="10:19" ht="16">
      <c r="J532" s="5" t="str" cm="1">
        <f t="array" ref="J5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2"/>
    </row>
    <row r="533" spans="10:19" ht="16">
      <c r="J533" s="5" t="str" cm="1">
        <f t="array" ref="J5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3"/>
    </row>
    <row r="534" spans="10:19" ht="16">
      <c r="J534" s="5" t="str" cm="1">
        <f t="array" ref="J5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4"/>
    </row>
    <row r="535" spans="10:19" ht="16">
      <c r="J535" s="5" t="str" cm="1">
        <f t="array" ref="J5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5"/>
    </row>
    <row r="536" spans="10:19" ht="16">
      <c r="J536" s="5" t="str" cm="1">
        <f t="array" ref="J5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6"/>
    </row>
    <row r="537" spans="10:19" ht="16">
      <c r="J537" s="5" t="str" cm="1">
        <f t="array" ref="J5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7"/>
    </row>
    <row r="538" spans="10:19" ht="16">
      <c r="J538" s="5" t="str" cm="1">
        <f t="array" ref="J5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8"/>
    </row>
    <row r="539" spans="10:19" ht="16">
      <c r="J539" s="5" t="str" cm="1">
        <f t="array" ref="J5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39"/>
    </row>
    <row r="540" spans="10:19" ht="16">
      <c r="J540" s="5" t="str" cm="1">
        <f t="array" ref="J5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0"/>
    </row>
    <row r="541" spans="10:19" ht="16">
      <c r="J541" s="5" t="str" cm="1">
        <f t="array" ref="J5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1"/>
    </row>
    <row r="542" spans="10:19" ht="16">
      <c r="J542" s="5" t="str" cm="1">
        <f t="array" ref="J5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2"/>
    </row>
    <row r="543" spans="10:19" ht="16">
      <c r="J543" s="5" t="str" cm="1">
        <f t="array" ref="J5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3"/>
    </row>
    <row r="544" spans="10:19" ht="16">
      <c r="J544" s="5" t="str" cm="1">
        <f t="array" ref="J5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4"/>
    </row>
    <row r="545" spans="10:19" ht="16">
      <c r="J545" s="5" t="str" cm="1">
        <f t="array" ref="J5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5"/>
    </row>
    <row r="546" spans="10:19" ht="16">
      <c r="J546" s="5" t="str" cm="1">
        <f t="array" ref="J5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6"/>
    </row>
    <row r="547" spans="10:19" ht="16">
      <c r="J547" s="5" t="str" cm="1">
        <f t="array" ref="J5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7"/>
    </row>
    <row r="548" spans="10:19" ht="16">
      <c r="J548" s="5" t="str" cm="1">
        <f t="array" ref="J5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8"/>
    </row>
    <row r="549" spans="10:19" ht="16">
      <c r="J549" s="5" t="str" cm="1">
        <f t="array" ref="J5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49"/>
    </row>
    <row r="550" spans="10:19" ht="16">
      <c r="J550" s="5" t="str" cm="1">
        <f t="array" ref="J5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0"/>
    </row>
    <row r="551" spans="10:19" ht="16">
      <c r="J551" s="5" t="str" cm="1">
        <f t="array" ref="J5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1"/>
    </row>
    <row r="552" spans="10:19" ht="16">
      <c r="J552" s="5" t="str" cm="1">
        <f t="array" ref="J5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2"/>
    </row>
    <row r="553" spans="10:19" ht="16">
      <c r="J553" s="5" t="str" cm="1">
        <f t="array" ref="J5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3"/>
    </row>
    <row r="554" spans="10:19" ht="16">
      <c r="J554" s="5" t="str" cm="1">
        <f t="array" ref="J5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4"/>
    </row>
    <row r="555" spans="10:19" ht="16">
      <c r="J555" s="5" t="str" cm="1">
        <f t="array" ref="J5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5"/>
    </row>
    <row r="556" spans="10:19" ht="16">
      <c r="J556" s="5" t="str" cm="1">
        <f t="array" ref="J5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6"/>
    </row>
    <row r="557" spans="10:19" ht="16">
      <c r="J557" s="5" t="str" cm="1">
        <f t="array" ref="J5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7"/>
    </row>
    <row r="558" spans="10:19" ht="16">
      <c r="J558" s="5" t="str" cm="1">
        <f t="array" ref="J5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8"/>
    </row>
    <row r="559" spans="10:19" ht="16">
      <c r="J559" s="5" t="str" cm="1">
        <f t="array" ref="J5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59"/>
    </row>
    <row r="560" spans="10:19" ht="16">
      <c r="J560" s="5" t="str" cm="1">
        <f t="array" ref="J5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0"/>
    </row>
    <row r="561" spans="10:19" ht="16">
      <c r="J561" s="5" t="str" cm="1">
        <f t="array" ref="J5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1"/>
    </row>
    <row r="562" spans="10:19" ht="16">
      <c r="J562" s="5" t="str" cm="1">
        <f t="array" ref="J5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2"/>
    </row>
    <row r="563" spans="10:19" ht="16">
      <c r="J563" s="5" t="str" cm="1">
        <f t="array" ref="J5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3"/>
    </row>
    <row r="564" spans="10:19" ht="16">
      <c r="J564" s="5" t="str" cm="1">
        <f t="array" ref="J5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4"/>
    </row>
    <row r="565" spans="10:19" ht="16">
      <c r="J565" s="5" t="str" cm="1">
        <f t="array" ref="J5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5"/>
    </row>
    <row r="566" spans="10:19" ht="16">
      <c r="J566" s="5" t="str" cm="1">
        <f t="array" ref="J5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6"/>
    </row>
    <row r="567" spans="10:19" ht="16">
      <c r="J567" s="5" t="str" cm="1">
        <f t="array" ref="J5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7"/>
    </row>
    <row r="568" spans="10:19" ht="16">
      <c r="J568" s="5" t="str" cm="1">
        <f t="array" ref="J5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8"/>
    </row>
    <row r="569" spans="10:19" ht="16">
      <c r="J569" s="5" t="str" cm="1">
        <f t="array" ref="J5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69"/>
    </row>
    <row r="570" spans="10:19" ht="16">
      <c r="J570" s="5" t="str" cm="1">
        <f t="array" ref="J5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0"/>
    </row>
    <row r="571" spans="10:19" ht="16">
      <c r="J571" s="5" t="str" cm="1">
        <f t="array" ref="J5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1"/>
    </row>
    <row r="572" spans="10:19" ht="16">
      <c r="J572" s="5" t="str" cm="1">
        <f t="array" ref="J5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2"/>
    </row>
    <row r="573" spans="10:19" ht="16">
      <c r="J573" s="5" t="str" cm="1">
        <f t="array" ref="J5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3"/>
    </row>
    <row r="574" spans="10:19" ht="16">
      <c r="J574" s="5" t="str" cm="1">
        <f t="array" ref="J5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4"/>
    </row>
    <row r="575" spans="10:19" ht="16">
      <c r="J575" s="5" t="str" cm="1">
        <f t="array" ref="J5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5"/>
    </row>
    <row r="576" spans="10:19" ht="16">
      <c r="J576" s="5" t="str" cm="1">
        <f t="array" ref="J5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6"/>
    </row>
    <row r="577" spans="10:19" ht="16">
      <c r="J577" s="5" t="str" cm="1">
        <f t="array" ref="J5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7"/>
    </row>
    <row r="578" spans="10:19" ht="16">
      <c r="J578" s="5" t="str" cm="1">
        <f t="array" ref="J5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8"/>
    </row>
    <row r="579" spans="10:19" ht="16">
      <c r="J579" s="5" t="str" cm="1">
        <f t="array" ref="J5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79"/>
    </row>
    <row r="580" spans="10:19" ht="16">
      <c r="J580" s="5" t="str" cm="1">
        <f t="array" ref="J5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0"/>
    </row>
    <row r="581" spans="10:19" ht="16">
      <c r="J581" s="5" t="str" cm="1">
        <f t="array" ref="J5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1"/>
    </row>
    <row r="582" spans="10:19" ht="16">
      <c r="J582" s="5" t="str" cm="1">
        <f t="array" ref="J5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2"/>
    </row>
    <row r="583" spans="10:19" ht="16">
      <c r="J583" s="5" t="str" cm="1">
        <f t="array" ref="J5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3"/>
    </row>
    <row r="584" spans="10:19" ht="16">
      <c r="J584" s="5" t="str" cm="1">
        <f t="array" ref="J5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4"/>
    </row>
    <row r="585" spans="10:19" ht="16">
      <c r="J585" s="5" t="str" cm="1">
        <f t="array" ref="J5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5"/>
    </row>
    <row r="586" spans="10:19" ht="16">
      <c r="J586" s="5" t="str" cm="1">
        <f t="array" ref="J5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6"/>
    </row>
    <row r="587" spans="10:19" ht="16">
      <c r="J587" s="5" t="str" cm="1">
        <f t="array" ref="J5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7"/>
    </row>
    <row r="588" spans="10:19" ht="16">
      <c r="J588" s="5" t="str" cm="1">
        <f t="array" ref="J5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8"/>
    </row>
    <row r="589" spans="10:19" ht="16">
      <c r="J589" s="5" t="str" cm="1">
        <f t="array" ref="J5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89"/>
    </row>
    <row r="590" spans="10:19" ht="16">
      <c r="J590" s="5" t="str" cm="1">
        <f t="array" ref="J5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0"/>
    </row>
    <row r="591" spans="10:19" ht="16">
      <c r="J591" s="5" t="str" cm="1">
        <f t="array" ref="J5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1"/>
    </row>
    <row r="592" spans="10:19" ht="16">
      <c r="J592" s="5" t="str" cm="1">
        <f t="array" ref="J5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2"/>
    </row>
    <row r="593" spans="10:19" ht="16">
      <c r="J593" s="5" t="str" cm="1">
        <f t="array" ref="J5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3"/>
    </row>
    <row r="594" spans="10:19" ht="16">
      <c r="J594" s="5" t="str" cm="1">
        <f t="array" ref="J5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4"/>
    </row>
    <row r="595" spans="10:19" ht="16">
      <c r="J595" s="5" t="str" cm="1">
        <f t="array" ref="J5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5"/>
    </row>
    <row r="596" spans="10:19" ht="16">
      <c r="J596" s="5" t="str" cm="1">
        <f t="array" ref="J5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6"/>
    </row>
    <row r="597" spans="10:19" ht="16">
      <c r="J597" s="5" t="str" cm="1">
        <f t="array" ref="J5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7"/>
    </row>
    <row r="598" spans="10:19" ht="16">
      <c r="J598" s="5" t="str" cm="1">
        <f t="array" ref="J5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8"/>
    </row>
    <row r="599" spans="10:19" ht="16">
      <c r="J599" s="5" t="str" cm="1">
        <f t="array" ref="J5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599"/>
    </row>
    <row r="600" spans="10:19" ht="16">
      <c r="J600" s="5" t="str" cm="1">
        <f t="array" ref="J6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0"/>
    </row>
    <row r="601" spans="10:19" ht="16">
      <c r="J601" s="5" t="str" cm="1">
        <f t="array" ref="J6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1"/>
    </row>
    <row r="602" spans="10:19" ht="16">
      <c r="J602" s="5" t="str" cm="1">
        <f t="array" ref="J6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2"/>
    </row>
    <row r="603" spans="10:19" ht="16">
      <c r="J603" s="5" t="str" cm="1">
        <f t="array" ref="J6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3"/>
    </row>
    <row r="604" spans="10:19" ht="16">
      <c r="J604" s="5" t="str" cm="1">
        <f t="array" ref="J6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4"/>
    </row>
    <row r="605" spans="10:19" ht="16">
      <c r="J605" s="5" t="str" cm="1">
        <f t="array" ref="J6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5"/>
    </row>
    <row r="606" spans="10:19" ht="16">
      <c r="J606" s="5" t="str" cm="1">
        <f t="array" ref="J6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6"/>
    </row>
    <row r="607" spans="10:19" ht="16">
      <c r="J607" s="5" t="str" cm="1">
        <f t="array" ref="J6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7"/>
    </row>
    <row r="608" spans="10:19" ht="16">
      <c r="J608" s="5" t="str" cm="1">
        <f t="array" ref="J6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8"/>
    </row>
    <row r="609" spans="10:19" ht="16">
      <c r="J609" s="5" t="str" cm="1">
        <f t="array" ref="J6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09"/>
    </row>
    <row r="610" spans="10:19" ht="16">
      <c r="J610" s="5" t="str" cm="1">
        <f t="array" ref="J6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0"/>
    </row>
    <row r="611" spans="10:19" ht="16">
      <c r="J611" s="5" t="str" cm="1">
        <f t="array" ref="J6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1"/>
    </row>
    <row r="612" spans="10:19" ht="16">
      <c r="J612" s="5" t="str" cm="1">
        <f t="array" ref="J6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2"/>
    </row>
    <row r="613" spans="10:19" ht="16">
      <c r="J613" s="5" t="str" cm="1">
        <f t="array" ref="J6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3"/>
    </row>
    <row r="614" spans="10:19" ht="16">
      <c r="J614" s="5" t="str" cm="1">
        <f t="array" ref="J6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4"/>
    </row>
    <row r="615" spans="10:19" ht="16">
      <c r="J615" s="5" t="str" cm="1">
        <f t="array" ref="J6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5"/>
    </row>
    <row r="616" spans="10:19" ht="16">
      <c r="J616" s="5" t="str" cm="1">
        <f t="array" ref="J6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6"/>
    </row>
    <row r="617" spans="10:19" ht="16">
      <c r="J617" s="5" t="str" cm="1">
        <f t="array" ref="J6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7"/>
    </row>
    <row r="618" spans="10:19" ht="16">
      <c r="J618" s="5" t="str" cm="1">
        <f t="array" ref="J6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8"/>
    </row>
    <row r="619" spans="10:19" ht="16">
      <c r="J619" s="5" t="str" cm="1">
        <f t="array" ref="J6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19"/>
    </row>
    <row r="620" spans="10:19" ht="16">
      <c r="J620" s="5" t="str" cm="1">
        <f t="array" ref="J6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0"/>
    </row>
    <row r="621" spans="10:19" ht="16">
      <c r="J621" s="5" t="str" cm="1">
        <f t="array" ref="J6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1"/>
    </row>
    <row r="622" spans="10:19" ht="16">
      <c r="J622" s="5" t="str" cm="1">
        <f t="array" ref="J6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2"/>
    </row>
    <row r="623" spans="10:19" ht="16">
      <c r="J623" s="5" t="str" cm="1">
        <f t="array" ref="J6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3"/>
    </row>
    <row r="624" spans="10:19" ht="16">
      <c r="J624" s="5" t="str" cm="1">
        <f t="array" ref="J6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4"/>
    </row>
    <row r="625" spans="10:19" ht="16">
      <c r="J625" s="5" t="str" cm="1">
        <f t="array" ref="J6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5"/>
    </row>
    <row r="626" spans="10:19" ht="16">
      <c r="J626" s="5" t="str" cm="1">
        <f t="array" ref="J6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6"/>
    </row>
    <row r="627" spans="10:19" ht="16">
      <c r="J627" s="5" t="str" cm="1">
        <f t="array" ref="J6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7"/>
    </row>
    <row r="628" spans="10:19" ht="16">
      <c r="J628" s="5" t="str" cm="1">
        <f t="array" ref="J6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8"/>
    </row>
    <row r="629" spans="10:19" ht="16">
      <c r="J629" s="5" t="str" cm="1">
        <f t="array" ref="J6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29"/>
    </row>
    <row r="630" spans="10:19" ht="16">
      <c r="J630" s="5" t="str" cm="1">
        <f t="array" ref="J6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0"/>
    </row>
    <row r="631" spans="10:19" ht="16">
      <c r="J631" s="5" t="str" cm="1">
        <f t="array" ref="J6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1"/>
    </row>
    <row r="632" spans="10:19" ht="16">
      <c r="J632" s="5" t="str" cm="1">
        <f t="array" ref="J6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2"/>
    </row>
    <row r="633" spans="10:19" ht="16">
      <c r="J633" s="5" t="str" cm="1">
        <f t="array" ref="J6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3"/>
    </row>
    <row r="634" spans="10:19" ht="16">
      <c r="J634" s="5" t="str" cm="1">
        <f t="array" ref="J6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4"/>
    </row>
    <row r="635" spans="10:19" ht="16">
      <c r="J635" s="5" t="str" cm="1">
        <f t="array" ref="J6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5"/>
    </row>
    <row r="636" spans="10:19" ht="16">
      <c r="J636" s="5" t="str" cm="1">
        <f t="array" ref="J6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6"/>
    </row>
    <row r="637" spans="10:19" ht="16">
      <c r="J637" s="5" t="str" cm="1">
        <f t="array" ref="J6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7"/>
    </row>
    <row r="638" spans="10:19" ht="16">
      <c r="J638" s="5" t="str" cm="1">
        <f t="array" ref="J6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8"/>
    </row>
    <row r="639" spans="10:19" ht="16">
      <c r="J639" s="5" t="str" cm="1">
        <f t="array" ref="J6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39"/>
    </row>
    <row r="640" spans="10:19" ht="16">
      <c r="J640" s="5" t="str" cm="1">
        <f t="array" ref="J6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0"/>
    </row>
    <row r="641" spans="10:19" ht="16">
      <c r="J641" s="5" t="str" cm="1">
        <f t="array" ref="J6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1"/>
    </row>
    <row r="642" spans="10:19" ht="16">
      <c r="J642" s="5" t="str" cm="1">
        <f t="array" ref="J6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2"/>
    </row>
    <row r="643" spans="10:19" ht="16">
      <c r="J643" s="5" t="str" cm="1">
        <f t="array" ref="J6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3"/>
    </row>
    <row r="644" spans="10:19" ht="16">
      <c r="J644" s="5" t="str" cm="1">
        <f t="array" ref="J6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4"/>
    </row>
    <row r="645" spans="10:19" ht="16">
      <c r="J645" s="5" t="str" cm="1">
        <f t="array" ref="J6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5"/>
    </row>
    <row r="646" spans="10:19" ht="16">
      <c r="J646" s="5" t="str" cm="1">
        <f t="array" ref="J6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6"/>
    </row>
    <row r="647" spans="10:19" ht="16">
      <c r="J647" s="5" t="str" cm="1">
        <f t="array" ref="J6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7"/>
    </row>
    <row r="648" spans="10:19" ht="16">
      <c r="J648" s="5" t="str" cm="1">
        <f t="array" ref="J6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8"/>
    </row>
    <row r="649" spans="10:19" ht="16">
      <c r="J649" s="5" t="str" cm="1">
        <f t="array" ref="J6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49"/>
    </row>
    <row r="650" spans="10:19" ht="16">
      <c r="J650" s="5" t="str" cm="1">
        <f t="array" ref="J6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0"/>
    </row>
    <row r="651" spans="10:19" ht="16">
      <c r="J651" s="5" t="str" cm="1">
        <f t="array" ref="J6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1"/>
    </row>
    <row r="652" spans="10:19" ht="16">
      <c r="J652" s="5" t="str" cm="1">
        <f t="array" ref="J6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2"/>
    </row>
    <row r="653" spans="10:19" ht="16">
      <c r="J653" s="5" t="str" cm="1">
        <f t="array" ref="J6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3"/>
    </row>
    <row r="654" spans="10:19" ht="16">
      <c r="J654" s="5" t="str" cm="1">
        <f t="array" ref="J6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4"/>
    </row>
    <row r="655" spans="10:19" ht="16">
      <c r="J655" s="5" t="str" cm="1">
        <f t="array" ref="J6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5"/>
    </row>
    <row r="656" spans="10:19" ht="16">
      <c r="J656" s="5" t="str" cm="1">
        <f t="array" ref="J6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6"/>
    </row>
    <row r="657" spans="10:19" ht="16">
      <c r="J657" s="5" t="str" cm="1">
        <f t="array" ref="J6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7"/>
    </row>
    <row r="658" spans="10:19" ht="16">
      <c r="J658" s="5" t="str" cm="1">
        <f t="array" ref="J6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8"/>
    </row>
    <row r="659" spans="10:19" ht="16">
      <c r="J659" s="5" t="str" cm="1">
        <f t="array" ref="J6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59"/>
    </row>
    <row r="660" spans="10:19" ht="16">
      <c r="J660" s="5" t="str" cm="1">
        <f t="array" ref="J6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0"/>
    </row>
    <row r="661" spans="10:19" ht="16">
      <c r="J661" s="5" t="str" cm="1">
        <f t="array" ref="J6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1"/>
    </row>
    <row r="662" spans="10:19" ht="16">
      <c r="J662" s="5" t="str" cm="1">
        <f t="array" ref="J6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2"/>
    </row>
    <row r="663" spans="10:19" ht="16">
      <c r="J663" s="5" t="str" cm="1">
        <f t="array" ref="J6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3"/>
    </row>
    <row r="664" spans="10:19" ht="16">
      <c r="J664" s="5" t="str" cm="1">
        <f t="array" ref="J6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4"/>
    </row>
    <row r="665" spans="10:19" ht="16">
      <c r="J665" s="5" t="str" cm="1">
        <f t="array" ref="J6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5"/>
    </row>
    <row r="666" spans="10:19" ht="16">
      <c r="J666" s="5" t="str" cm="1">
        <f t="array" ref="J6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6"/>
    </row>
    <row r="667" spans="10:19" ht="16">
      <c r="J667" s="5" t="str" cm="1">
        <f t="array" ref="J6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7"/>
    </row>
    <row r="668" spans="10:19" ht="16">
      <c r="J668" s="5" t="str" cm="1">
        <f t="array" ref="J6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8"/>
    </row>
    <row r="669" spans="10:19" ht="16">
      <c r="J669" s="5" t="str" cm="1">
        <f t="array" ref="J6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69"/>
    </row>
    <row r="670" spans="10:19" ht="16">
      <c r="J670" s="5" t="str" cm="1">
        <f t="array" ref="J6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0"/>
    </row>
    <row r="671" spans="10:19" ht="16">
      <c r="J671" s="5" t="str" cm="1">
        <f t="array" ref="J6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1"/>
    </row>
    <row r="672" spans="10:19" ht="16">
      <c r="J672" s="5" t="str" cm="1">
        <f t="array" ref="J6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2"/>
    </row>
    <row r="673" spans="10:19" ht="16">
      <c r="J673" s="5" t="str" cm="1">
        <f t="array" ref="J6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3"/>
    </row>
    <row r="674" spans="10:19" ht="16">
      <c r="J674" s="5" t="str" cm="1">
        <f t="array" ref="J6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4"/>
    </row>
    <row r="675" spans="10:19" ht="16">
      <c r="J675" s="5" t="str" cm="1">
        <f t="array" ref="J6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5"/>
    </row>
    <row r="676" spans="10:19" ht="16">
      <c r="J676" s="5" t="str" cm="1">
        <f t="array" ref="J6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6"/>
    </row>
    <row r="677" spans="10:19" ht="16">
      <c r="J677" s="5" t="str" cm="1">
        <f t="array" ref="J6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7"/>
    </row>
    <row r="678" spans="10:19" ht="16">
      <c r="J678" s="5" t="str" cm="1">
        <f t="array" ref="J6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8"/>
    </row>
    <row r="679" spans="10:19" ht="16">
      <c r="J679" s="5" t="str" cm="1">
        <f t="array" ref="J6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79"/>
    </row>
    <row r="680" spans="10:19" ht="16">
      <c r="J680" s="5" t="str" cm="1">
        <f t="array" ref="J6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0"/>
    </row>
    <row r="681" spans="10:19" ht="16">
      <c r="J681" s="5" t="str" cm="1">
        <f t="array" ref="J6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1"/>
    </row>
    <row r="682" spans="10:19" ht="16">
      <c r="J682" s="5" t="str" cm="1">
        <f t="array" ref="J6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2"/>
    </row>
    <row r="683" spans="10:19" ht="16">
      <c r="J683" s="5" t="str" cm="1">
        <f t="array" ref="J6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3"/>
    </row>
    <row r="684" spans="10:19" ht="16">
      <c r="J684" s="5" t="str" cm="1">
        <f t="array" ref="J6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4"/>
    </row>
    <row r="685" spans="10:19" ht="16">
      <c r="J685" s="5" t="str" cm="1">
        <f t="array" ref="J6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5"/>
    </row>
    <row r="686" spans="10:19" ht="16">
      <c r="J686" s="5" t="str" cm="1">
        <f t="array" ref="J6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6"/>
    </row>
    <row r="687" spans="10:19" ht="16">
      <c r="J687" s="5" t="str" cm="1">
        <f t="array" ref="J6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7"/>
    </row>
    <row r="688" spans="10:19" ht="16">
      <c r="J688" s="5" t="str" cm="1">
        <f t="array" ref="J6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8"/>
    </row>
    <row r="689" spans="10:19" ht="16">
      <c r="J689" s="5" t="str" cm="1">
        <f t="array" ref="J6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89"/>
    </row>
    <row r="690" spans="10:19" ht="16">
      <c r="J690" s="5" t="str" cm="1">
        <f t="array" ref="J6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0"/>
    </row>
    <row r="691" spans="10:19" ht="16">
      <c r="J691" s="5" t="str" cm="1">
        <f t="array" ref="J6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1"/>
    </row>
    <row r="692" spans="10:19" ht="16">
      <c r="J692" s="5" t="str" cm="1">
        <f t="array" ref="J6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2"/>
    </row>
    <row r="693" spans="10:19" ht="16">
      <c r="J693" s="5" t="str" cm="1">
        <f t="array" ref="J6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3"/>
    </row>
    <row r="694" spans="10:19" ht="16">
      <c r="J694" s="5" t="str" cm="1">
        <f t="array" ref="J6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4"/>
    </row>
    <row r="695" spans="10:19" ht="16">
      <c r="J695" s="5" t="str" cm="1">
        <f t="array" ref="J6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5"/>
    </row>
    <row r="696" spans="10:19" ht="16">
      <c r="J696" s="5" t="str" cm="1">
        <f t="array" ref="J6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6"/>
    </row>
    <row r="697" spans="10:19" ht="16">
      <c r="J697" s="5" t="str" cm="1">
        <f t="array" ref="J6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7"/>
    </row>
    <row r="698" spans="10:19" ht="16">
      <c r="J698" s="5" t="str" cm="1">
        <f t="array" ref="J6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8"/>
    </row>
    <row r="699" spans="10:19" ht="16">
      <c r="J699" s="5" t="str" cm="1">
        <f t="array" ref="J6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699"/>
    </row>
    <row r="700" spans="10:19" ht="16">
      <c r="J700" s="5" t="str" cm="1">
        <f t="array" ref="J7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0"/>
    </row>
    <row r="701" spans="10:19" ht="16">
      <c r="J701" s="5" t="str" cm="1">
        <f t="array" ref="J7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1"/>
    </row>
    <row r="702" spans="10:19" ht="16">
      <c r="J702" s="5" t="str" cm="1">
        <f t="array" ref="J7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2"/>
    </row>
    <row r="703" spans="10:19" ht="16">
      <c r="J703" s="5" t="str" cm="1">
        <f t="array" ref="J7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3"/>
    </row>
    <row r="704" spans="10:19" ht="16">
      <c r="J704" s="5" t="str" cm="1">
        <f t="array" ref="J7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4"/>
    </row>
    <row r="705" spans="10:19" ht="16">
      <c r="J705" s="5" t="str" cm="1">
        <f t="array" ref="J7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5"/>
    </row>
    <row r="706" spans="10:19" ht="16">
      <c r="J706" s="5" t="str" cm="1">
        <f t="array" ref="J7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6"/>
    </row>
    <row r="707" spans="10:19" ht="16">
      <c r="J707" s="5" t="str" cm="1">
        <f t="array" ref="J7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7"/>
    </row>
    <row r="708" spans="10:19" ht="16">
      <c r="J708" s="5" t="str" cm="1">
        <f t="array" ref="J7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8"/>
    </row>
    <row r="709" spans="10:19" ht="16">
      <c r="J709" s="5" t="str" cm="1">
        <f t="array" ref="J7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09"/>
    </row>
    <row r="710" spans="10:19" ht="16">
      <c r="J710" s="5" t="str" cm="1">
        <f t="array" ref="J7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0"/>
    </row>
    <row r="711" spans="10:19" ht="16">
      <c r="J711" s="5" t="str" cm="1">
        <f t="array" ref="J7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1"/>
    </row>
    <row r="712" spans="10:19" ht="16">
      <c r="J712" s="5" t="str" cm="1">
        <f t="array" ref="J7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2"/>
    </row>
    <row r="713" spans="10:19" ht="16">
      <c r="J713" s="5" t="str" cm="1">
        <f t="array" ref="J7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3"/>
    </row>
    <row r="714" spans="10:19" ht="16">
      <c r="J714" s="5" t="str" cm="1">
        <f t="array" ref="J7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4"/>
    </row>
    <row r="715" spans="10:19" ht="16">
      <c r="J715" s="5" t="str" cm="1">
        <f t="array" ref="J7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5"/>
    </row>
    <row r="716" spans="10:19" ht="16">
      <c r="J716" s="5" t="str" cm="1">
        <f t="array" ref="J7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6"/>
    </row>
    <row r="717" spans="10:19" ht="16">
      <c r="J717" s="5" t="str" cm="1">
        <f t="array" ref="J7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7"/>
    </row>
    <row r="718" spans="10:19" ht="16">
      <c r="J718" s="5" t="str" cm="1">
        <f t="array" ref="J7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8"/>
    </row>
    <row r="719" spans="10:19" ht="16">
      <c r="J719" s="5" t="str" cm="1">
        <f t="array" ref="J7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19"/>
    </row>
    <row r="720" spans="10:19" ht="16">
      <c r="J720" s="5" t="str" cm="1">
        <f t="array" ref="J7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0"/>
    </row>
    <row r="721" spans="10:19" ht="16">
      <c r="J721" s="5" t="str" cm="1">
        <f t="array" ref="J7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1"/>
    </row>
    <row r="722" spans="10:19" ht="16">
      <c r="J722" s="5" t="str" cm="1">
        <f t="array" ref="J7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2"/>
    </row>
    <row r="723" spans="10:19" ht="16">
      <c r="J723" s="5" t="str" cm="1">
        <f t="array" ref="J7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3"/>
    </row>
    <row r="724" spans="10:19" ht="16">
      <c r="J724" s="5" t="str" cm="1">
        <f t="array" ref="J7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4"/>
    </row>
    <row r="725" spans="10:19" ht="16">
      <c r="J725" s="5" t="str" cm="1">
        <f t="array" ref="J7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5"/>
    </row>
    <row r="726" spans="10:19" ht="16">
      <c r="J726" s="5" t="str" cm="1">
        <f t="array" ref="J7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6"/>
    </row>
    <row r="727" spans="10:19" ht="16">
      <c r="J727" s="5" t="str" cm="1">
        <f t="array" ref="J7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7"/>
    </row>
    <row r="728" spans="10:19" ht="16">
      <c r="J728" s="5" t="str" cm="1">
        <f t="array" ref="J7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8"/>
    </row>
    <row r="729" spans="10:19" ht="16">
      <c r="J729" s="5" t="str" cm="1">
        <f t="array" ref="J7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29"/>
    </row>
    <row r="730" spans="10:19" ht="16">
      <c r="J730" s="5" t="str" cm="1">
        <f t="array" ref="J7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0"/>
    </row>
    <row r="731" spans="10:19" ht="16">
      <c r="J731" s="5" t="str" cm="1">
        <f t="array" ref="J7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1"/>
    </row>
    <row r="732" spans="10:19" ht="16">
      <c r="J732" s="5" t="str" cm="1">
        <f t="array" ref="J7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2"/>
    </row>
    <row r="733" spans="10:19" ht="16">
      <c r="J733" s="5" t="str" cm="1">
        <f t="array" ref="J7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3"/>
    </row>
    <row r="734" spans="10:19" ht="16">
      <c r="J734" s="5" t="str" cm="1">
        <f t="array" ref="J7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4"/>
    </row>
    <row r="735" spans="10:19" ht="16">
      <c r="J735" s="5" t="str" cm="1">
        <f t="array" ref="J7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5"/>
    </row>
    <row r="736" spans="10:19" ht="16">
      <c r="J736" s="5" t="str" cm="1">
        <f t="array" ref="J7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6"/>
    </row>
    <row r="737" spans="10:19" ht="16">
      <c r="J737" s="5" t="str" cm="1">
        <f t="array" ref="J7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7"/>
    </row>
    <row r="738" spans="10:19" ht="16">
      <c r="J738" s="5" t="str" cm="1">
        <f t="array" ref="J7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8"/>
    </row>
    <row r="739" spans="10:19" ht="16">
      <c r="J739" s="5" t="str" cm="1">
        <f t="array" ref="J7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39"/>
    </row>
    <row r="740" spans="10:19" ht="16">
      <c r="J740" s="5" t="str" cm="1">
        <f t="array" ref="J7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0"/>
    </row>
    <row r="741" spans="10:19" ht="16">
      <c r="J741" s="5" t="str" cm="1">
        <f t="array" ref="J7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1"/>
    </row>
    <row r="742" spans="10:19" ht="16">
      <c r="J742" s="5" t="str" cm="1">
        <f t="array" ref="J7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2"/>
    </row>
    <row r="743" spans="10:19" ht="16">
      <c r="J743" s="5" t="str" cm="1">
        <f t="array" ref="J7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3"/>
    </row>
    <row r="744" spans="10:19" ht="16">
      <c r="J744" s="5" t="str" cm="1">
        <f t="array" ref="J7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4"/>
    </row>
    <row r="745" spans="10:19" ht="16">
      <c r="J745" s="5" t="str" cm="1">
        <f t="array" ref="J7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5"/>
    </row>
    <row r="746" spans="10:19" ht="16">
      <c r="J746" s="5" t="str" cm="1">
        <f t="array" ref="J7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6"/>
    </row>
    <row r="747" spans="10:19" ht="16">
      <c r="J747" s="5" t="str" cm="1">
        <f t="array" ref="J7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7"/>
    </row>
    <row r="748" spans="10:19" ht="16">
      <c r="J748" s="5" t="str" cm="1">
        <f t="array" ref="J7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8"/>
    </row>
    <row r="749" spans="10:19" ht="16">
      <c r="J749" s="5" t="str" cm="1">
        <f t="array" ref="J7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49"/>
    </row>
    <row r="750" spans="10:19" ht="16">
      <c r="J750" s="5" t="str" cm="1">
        <f t="array" ref="J7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0"/>
    </row>
    <row r="751" spans="10:19" ht="16">
      <c r="J751" s="5" t="str" cm="1">
        <f t="array" ref="J7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1"/>
    </row>
    <row r="752" spans="10:19" ht="16">
      <c r="J752" s="5" t="str" cm="1">
        <f t="array" ref="J7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2"/>
    </row>
    <row r="753" spans="10:19" ht="16">
      <c r="J753" s="5" t="str" cm="1">
        <f t="array" ref="J7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3"/>
    </row>
    <row r="754" spans="10:19" ht="16">
      <c r="J754" s="5" t="str" cm="1">
        <f t="array" ref="J7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4"/>
    </row>
    <row r="755" spans="10:19" ht="16">
      <c r="J755" s="5" t="str" cm="1">
        <f t="array" ref="J7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5"/>
    </row>
    <row r="756" spans="10:19" ht="16">
      <c r="J756" s="5" t="str" cm="1">
        <f t="array" ref="J7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6"/>
    </row>
    <row r="757" spans="10:19" ht="16">
      <c r="J757" s="5" t="str" cm="1">
        <f t="array" ref="J7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7"/>
    </row>
    <row r="758" spans="10:19" ht="16">
      <c r="J758" s="5" t="str" cm="1">
        <f t="array" ref="J7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8"/>
    </row>
    <row r="759" spans="10:19" ht="16">
      <c r="J759" s="5" t="str" cm="1">
        <f t="array" ref="J7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59"/>
    </row>
    <row r="760" spans="10:19" ht="16">
      <c r="J760" s="5" t="str" cm="1">
        <f t="array" ref="J7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0"/>
    </row>
    <row r="761" spans="10:19" ht="16">
      <c r="J761" s="5" t="str" cm="1">
        <f t="array" ref="J7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1"/>
    </row>
    <row r="762" spans="10:19" ht="16">
      <c r="J762" s="5" t="str" cm="1">
        <f t="array" ref="J7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2"/>
    </row>
    <row r="763" spans="10:19" ht="16">
      <c r="J763" s="5" t="str" cm="1">
        <f t="array" ref="J7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3"/>
    </row>
    <row r="764" spans="10:19" ht="16">
      <c r="J764" s="5" t="str" cm="1">
        <f t="array" ref="J7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4"/>
    </row>
    <row r="765" spans="10:19" ht="16">
      <c r="J765" s="5" t="str" cm="1">
        <f t="array" ref="J7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5"/>
    </row>
    <row r="766" spans="10:19" ht="16">
      <c r="J766" s="5" t="str" cm="1">
        <f t="array" ref="J7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6"/>
    </row>
    <row r="767" spans="10:19" ht="16">
      <c r="J767" s="5" t="str" cm="1">
        <f t="array" ref="J7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7"/>
    </row>
    <row r="768" spans="10:19" ht="16">
      <c r="J768" s="5" t="str" cm="1">
        <f t="array" ref="J7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8"/>
    </row>
    <row r="769" spans="10:19" ht="16">
      <c r="J769" s="5" t="str" cm="1">
        <f t="array" ref="J7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69"/>
    </row>
    <row r="770" spans="10:19" ht="16">
      <c r="J770" s="5" t="str" cm="1">
        <f t="array" ref="J7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0"/>
    </row>
    <row r="771" spans="10:19" ht="16">
      <c r="J771" s="5" t="str" cm="1">
        <f t="array" ref="J7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1"/>
    </row>
    <row r="772" spans="10:19" ht="16">
      <c r="J772" s="5" t="str" cm="1">
        <f t="array" ref="J7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2"/>
    </row>
    <row r="773" spans="10:19" ht="16">
      <c r="J773" s="5" t="str" cm="1">
        <f t="array" ref="J7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3"/>
    </row>
    <row r="774" spans="10:19" ht="16">
      <c r="J774" s="5" t="str" cm="1">
        <f t="array" ref="J7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4"/>
    </row>
    <row r="775" spans="10:19" ht="16">
      <c r="J775" s="5" t="str" cm="1">
        <f t="array" ref="J7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5"/>
    </row>
    <row r="776" spans="10:19" ht="16">
      <c r="J776" s="5" t="str" cm="1">
        <f t="array" ref="J7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6"/>
    </row>
    <row r="777" spans="10:19" ht="16">
      <c r="J777" s="5" t="str" cm="1">
        <f t="array" ref="J7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7"/>
    </row>
    <row r="778" spans="10:19" ht="16">
      <c r="J778" s="5" t="str" cm="1">
        <f t="array" ref="J7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8"/>
    </row>
    <row r="779" spans="10:19" ht="16">
      <c r="J779" s="5" t="str" cm="1">
        <f t="array" ref="J7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79"/>
    </row>
    <row r="780" spans="10:19" ht="16">
      <c r="J780" s="5" t="str" cm="1">
        <f t="array" ref="J7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0"/>
    </row>
    <row r="781" spans="10:19" ht="16">
      <c r="J781" s="5" t="str" cm="1">
        <f t="array" ref="J7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1"/>
    </row>
    <row r="782" spans="10:19" ht="16">
      <c r="J782" s="5" t="str" cm="1">
        <f t="array" ref="J7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2"/>
    </row>
    <row r="783" spans="10:19" ht="16">
      <c r="J783" s="5" t="str" cm="1">
        <f t="array" ref="J7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3"/>
    </row>
    <row r="784" spans="10:19" ht="16">
      <c r="J784" s="5" t="str" cm="1">
        <f t="array" ref="J7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4"/>
    </row>
    <row r="785" spans="10:19" ht="16">
      <c r="J785" s="5" t="str" cm="1">
        <f t="array" ref="J7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5"/>
    </row>
    <row r="786" spans="10:19" ht="16">
      <c r="J786" s="5" t="str" cm="1">
        <f t="array" ref="J7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6"/>
    </row>
    <row r="787" spans="10:19" ht="16">
      <c r="J787" s="5" t="str" cm="1">
        <f t="array" ref="J7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7"/>
    </row>
    <row r="788" spans="10:19" ht="16">
      <c r="J788" s="5" t="str" cm="1">
        <f t="array" ref="J7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8"/>
    </row>
    <row r="789" spans="10:19" ht="16">
      <c r="J789" s="5" t="str" cm="1">
        <f t="array" ref="J7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89"/>
    </row>
    <row r="790" spans="10:19" ht="16">
      <c r="J790" s="5" t="str" cm="1">
        <f t="array" ref="J7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0"/>
    </row>
    <row r="791" spans="10:19" ht="16">
      <c r="J791" s="5" t="str" cm="1">
        <f t="array" ref="J7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1"/>
    </row>
    <row r="792" spans="10:19" ht="16">
      <c r="J792" s="5" t="str" cm="1">
        <f t="array" ref="J7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2"/>
    </row>
    <row r="793" spans="10:19" ht="16">
      <c r="J793" s="5" t="str" cm="1">
        <f t="array" ref="J7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3"/>
    </row>
    <row r="794" spans="10:19" ht="16">
      <c r="J794" s="5" t="str" cm="1">
        <f t="array" ref="J7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4"/>
    </row>
    <row r="795" spans="10:19" ht="16">
      <c r="J795" s="5" t="str" cm="1">
        <f t="array" ref="J7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5"/>
    </row>
    <row r="796" spans="10:19" ht="16">
      <c r="J796" s="5" t="str" cm="1">
        <f t="array" ref="J7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6"/>
    </row>
    <row r="797" spans="10:19" ht="16">
      <c r="J797" s="5" t="str" cm="1">
        <f t="array" ref="J7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7"/>
    </row>
    <row r="798" spans="10:19" ht="16">
      <c r="J798" s="5" t="str" cm="1">
        <f t="array" ref="J7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8"/>
    </row>
    <row r="799" spans="10:19" ht="16">
      <c r="J799" s="5" t="str" cm="1">
        <f t="array" ref="J7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799"/>
    </row>
    <row r="800" spans="10:19" ht="16">
      <c r="J800" s="5" t="str" cm="1">
        <f t="array" ref="J8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0"/>
    </row>
    <row r="801" spans="10:19" ht="16">
      <c r="J801" s="5" t="str" cm="1">
        <f t="array" ref="J8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1"/>
    </row>
    <row r="802" spans="10:19" ht="16">
      <c r="J802" s="5" t="str" cm="1">
        <f t="array" ref="J8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2"/>
    </row>
    <row r="803" spans="10:19" ht="16">
      <c r="J803" s="5" t="str" cm="1">
        <f t="array" ref="J8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3"/>
    </row>
    <row r="804" spans="10:19" ht="16">
      <c r="J804" s="5" t="str" cm="1">
        <f t="array" ref="J8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4"/>
    </row>
    <row r="805" spans="10:19" ht="16">
      <c r="J805" s="5" t="str" cm="1">
        <f t="array" ref="J8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5"/>
    </row>
    <row r="806" spans="10:19" ht="16">
      <c r="J806" s="5" t="str" cm="1">
        <f t="array" ref="J8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6"/>
    </row>
    <row r="807" spans="10:19" ht="16">
      <c r="J807" s="5" t="str" cm="1">
        <f t="array" ref="J8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7"/>
    </row>
    <row r="808" spans="10:19" ht="16">
      <c r="J808" s="5" t="str" cm="1">
        <f t="array" ref="J8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8"/>
    </row>
    <row r="809" spans="10:19" ht="16">
      <c r="J809" s="5" t="str" cm="1">
        <f t="array" ref="J8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09"/>
    </row>
    <row r="810" spans="10:19" ht="16">
      <c r="J810" s="5" t="str" cm="1">
        <f t="array" ref="J8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0"/>
    </row>
    <row r="811" spans="10:19" ht="16">
      <c r="J811" s="5" t="str" cm="1">
        <f t="array" ref="J8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1"/>
    </row>
    <row r="812" spans="10:19" ht="16">
      <c r="J812" s="5" t="str" cm="1">
        <f t="array" ref="J8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2"/>
    </row>
    <row r="813" spans="10:19" ht="16">
      <c r="J813" s="5" t="str" cm="1">
        <f t="array" ref="J8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3"/>
    </row>
    <row r="814" spans="10:19" ht="16">
      <c r="J814" s="5" t="str" cm="1">
        <f t="array" ref="J8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4"/>
    </row>
    <row r="815" spans="10:19" ht="16">
      <c r="J815" s="5" t="str" cm="1">
        <f t="array" ref="J8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5"/>
    </row>
    <row r="816" spans="10:19" ht="16">
      <c r="J816" s="5" t="str" cm="1">
        <f t="array" ref="J8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6"/>
    </row>
    <row r="817" spans="10:19" ht="16">
      <c r="J817" s="5" t="str" cm="1">
        <f t="array" ref="J8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7"/>
    </row>
    <row r="818" spans="10:19" ht="16">
      <c r="J818" s="5" t="str" cm="1">
        <f t="array" ref="J8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8"/>
    </row>
    <row r="819" spans="10:19" ht="16">
      <c r="J819" s="5" t="str" cm="1">
        <f t="array" ref="J8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19"/>
    </row>
    <row r="820" spans="10:19" ht="16">
      <c r="J820" s="5" t="str" cm="1">
        <f t="array" ref="J8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0"/>
    </row>
    <row r="821" spans="10:19" ht="16">
      <c r="J821" s="5" t="str" cm="1">
        <f t="array" ref="J8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1"/>
    </row>
    <row r="822" spans="10:19" ht="16">
      <c r="J822" s="5" t="str" cm="1">
        <f t="array" ref="J8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2"/>
    </row>
    <row r="823" spans="10:19" ht="16">
      <c r="J823" s="5" t="str" cm="1">
        <f t="array" ref="J8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3"/>
    </row>
    <row r="824" spans="10:19" ht="16">
      <c r="J824" s="5" t="str" cm="1">
        <f t="array" ref="J8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4"/>
    </row>
    <row r="825" spans="10:19" ht="16">
      <c r="J825" s="5" t="str" cm="1">
        <f t="array" ref="J8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5"/>
    </row>
    <row r="826" spans="10:19" ht="16">
      <c r="J826" s="5" t="str" cm="1">
        <f t="array" ref="J8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6"/>
    </row>
    <row r="827" spans="10:19" ht="16">
      <c r="J827" s="5" t="str" cm="1">
        <f t="array" ref="J8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7"/>
    </row>
    <row r="828" spans="10:19" ht="16">
      <c r="J828" s="5" t="str" cm="1">
        <f t="array" ref="J8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8"/>
    </row>
    <row r="829" spans="10:19" ht="16">
      <c r="J829" s="5" t="str" cm="1">
        <f t="array" ref="J8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29"/>
    </row>
    <row r="830" spans="10:19" ht="16">
      <c r="J830" s="5" t="str" cm="1">
        <f t="array" ref="J8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0"/>
    </row>
    <row r="831" spans="10:19" ht="16">
      <c r="J831" s="5" t="str" cm="1">
        <f t="array" ref="J8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1"/>
    </row>
    <row r="832" spans="10:19" ht="16">
      <c r="J832" s="5" t="str" cm="1">
        <f t="array" ref="J8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2"/>
    </row>
    <row r="833" spans="10:19" ht="16">
      <c r="J833" s="5" t="str" cm="1">
        <f t="array" ref="J8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3"/>
    </row>
    <row r="834" spans="10:19" ht="16">
      <c r="J834" s="5" t="str" cm="1">
        <f t="array" ref="J8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4"/>
    </row>
    <row r="835" spans="10:19" ht="16">
      <c r="J835" s="5" t="str" cm="1">
        <f t="array" ref="J8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5"/>
    </row>
    <row r="836" spans="10:19" ht="16">
      <c r="J836" s="5" t="str" cm="1">
        <f t="array" ref="J8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6"/>
    </row>
    <row r="837" spans="10:19" ht="16">
      <c r="J837" s="5" t="str" cm="1">
        <f t="array" ref="J8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7"/>
    </row>
    <row r="838" spans="10:19" ht="16">
      <c r="J838" s="5" t="str" cm="1">
        <f t="array" ref="J8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8"/>
    </row>
    <row r="839" spans="10:19" ht="16">
      <c r="J839" s="5" t="str" cm="1">
        <f t="array" ref="J8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39"/>
    </row>
    <row r="840" spans="10:19" ht="16">
      <c r="J840" s="5" t="str" cm="1">
        <f t="array" ref="J8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0"/>
    </row>
    <row r="841" spans="10:19" ht="16">
      <c r="J841" s="5" t="str" cm="1">
        <f t="array" ref="J8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1"/>
    </row>
    <row r="842" spans="10:19" ht="16">
      <c r="J842" s="5" t="str" cm="1">
        <f t="array" ref="J8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2"/>
    </row>
    <row r="843" spans="10:19" ht="16">
      <c r="J843" s="5" t="str" cm="1">
        <f t="array" ref="J8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3"/>
    </row>
    <row r="844" spans="10:19" ht="16">
      <c r="J844" s="5" t="str" cm="1">
        <f t="array" ref="J8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4"/>
    </row>
    <row r="845" spans="10:19" ht="16">
      <c r="J845" s="5" t="str" cm="1">
        <f t="array" ref="J8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5"/>
    </row>
    <row r="846" spans="10:19" ht="16">
      <c r="J846" s="5" t="str" cm="1">
        <f t="array" ref="J8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6"/>
    </row>
    <row r="847" spans="10:19" ht="16">
      <c r="J847" s="5" t="str" cm="1">
        <f t="array" ref="J8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7"/>
    </row>
    <row r="848" spans="10:19" ht="16">
      <c r="J848" s="5" t="str" cm="1">
        <f t="array" ref="J8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8"/>
    </row>
    <row r="849" spans="10:19" ht="16">
      <c r="J849" s="5" t="str" cm="1">
        <f t="array" ref="J8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49"/>
    </row>
    <row r="850" spans="10:19" ht="16">
      <c r="J850" s="5" t="str" cm="1">
        <f t="array" ref="J8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0"/>
    </row>
    <row r="851" spans="10:19" ht="16">
      <c r="J851" s="5" t="str" cm="1">
        <f t="array" ref="J8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1"/>
    </row>
    <row r="852" spans="10:19" ht="16">
      <c r="J852" s="5" t="str" cm="1">
        <f t="array" ref="J8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2"/>
    </row>
    <row r="853" spans="10:19" ht="16">
      <c r="J853" s="5" t="str" cm="1">
        <f t="array" ref="J8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3"/>
    </row>
    <row r="854" spans="10:19" ht="16">
      <c r="J854" s="5" t="str" cm="1">
        <f t="array" ref="J8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4"/>
    </row>
    <row r="855" spans="10:19" ht="16">
      <c r="J855" s="5" t="str" cm="1">
        <f t="array" ref="J8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5"/>
    </row>
    <row r="856" spans="10:19" ht="16">
      <c r="J856" s="5" t="str" cm="1">
        <f t="array" ref="J8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6"/>
    </row>
    <row r="857" spans="10:19" ht="16">
      <c r="J857" s="5" t="str" cm="1">
        <f t="array" ref="J8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7"/>
    </row>
    <row r="858" spans="10:19" ht="16">
      <c r="J858" s="5" t="str" cm="1">
        <f t="array" ref="J8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8"/>
    </row>
    <row r="859" spans="10:19" ht="16">
      <c r="J859" s="5" t="str" cm="1">
        <f t="array" ref="J8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59"/>
    </row>
    <row r="860" spans="10:19" ht="16">
      <c r="J860" s="5" t="str" cm="1">
        <f t="array" ref="J8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0"/>
    </row>
    <row r="861" spans="10:19" ht="16">
      <c r="J861" s="5" t="str" cm="1">
        <f t="array" ref="J8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1"/>
    </row>
    <row r="862" spans="10:19" ht="16">
      <c r="J862" s="5" t="str" cm="1">
        <f t="array" ref="J8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2"/>
    </row>
    <row r="863" spans="10:19" ht="16">
      <c r="J863" s="5" t="str" cm="1">
        <f t="array" ref="J8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3"/>
    </row>
    <row r="864" spans="10:19" ht="16">
      <c r="J864" s="5" t="str" cm="1">
        <f t="array" ref="J8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4"/>
    </row>
    <row r="865" spans="10:19" ht="16">
      <c r="J865" s="5" t="str" cm="1">
        <f t="array" ref="J8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5"/>
    </row>
    <row r="866" spans="10:19" ht="16">
      <c r="J866" s="5" t="str" cm="1">
        <f t="array" ref="J8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6"/>
    </row>
    <row r="867" spans="10:19" ht="16">
      <c r="J867" s="5" t="str" cm="1">
        <f t="array" ref="J8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7"/>
    </row>
    <row r="868" spans="10:19" ht="16">
      <c r="J868" s="5" t="str" cm="1">
        <f t="array" ref="J8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8"/>
    </row>
    <row r="869" spans="10:19" ht="16">
      <c r="J869" s="5" t="str" cm="1">
        <f t="array" ref="J8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69"/>
    </row>
    <row r="870" spans="10:19" ht="16">
      <c r="J870" s="5" t="str" cm="1">
        <f t="array" ref="J8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0"/>
    </row>
    <row r="871" spans="10:19" ht="16">
      <c r="J871" s="5" t="str" cm="1">
        <f t="array" ref="J8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1"/>
    </row>
    <row r="872" spans="10:19" ht="16">
      <c r="J872" s="5" t="str" cm="1">
        <f t="array" ref="J8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2"/>
    </row>
    <row r="873" spans="10:19" ht="16">
      <c r="J873" s="5" t="str" cm="1">
        <f t="array" ref="J8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3"/>
    </row>
    <row r="874" spans="10:19" ht="16">
      <c r="J874" s="5" t="str" cm="1">
        <f t="array" ref="J8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4"/>
    </row>
    <row r="875" spans="10:19" ht="16">
      <c r="J875" s="5" t="str" cm="1">
        <f t="array" ref="J8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5"/>
    </row>
    <row r="876" spans="10:19" ht="16">
      <c r="J876" s="5" t="str" cm="1">
        <f t="array" ref="J8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6"/>
    </row>
    <row r="877" spans="10:19" ht="16">
      <c r="J877" s="5" t="str" cm="1">
        <f t="array" ref="J8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7"/>
    </row>
    <row r="878" spans="10:19" ht="16">
      <c r="J878" s="5" t="str" cm="1">
        <f t="array" ref="J8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8"/>
    </row>
    <row r="879" spans="10:19" ht="16">
      <c r="J879" s="5" t="str" cm="1">
        <f t="array" ref="J8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79"/>
    </row>
    <row r="880" spans="10:19" ht="16">
      <c r="J880" s="5" t="str" cm="1">
        <f t="array" ref="J8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0"/>
    </row>
    <row r="881" spans="10:19" ht="16">
      <c r="J881" s="5" t="str" cm="1">
        <f t="array" ref="J8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1"/>
    </row>
    <row r="882" spans="10:19" ht="16">
      <c r="J882" s="5" t="str" cm="1">
        <f t="array" ref="J8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2"/>
    </row>
    <row r="883" spans="10:19" ht="16">
      <c r="J883" s="5" t="str" cm="1">
        <f t="array" ref="J8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3"/>
    </row>
    <row r="884" spans="10:19" ht="16">
      <c r="J884" s="5" t="str" cm="1">
        <f t="array" ref="J8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4"/>
    </row>
    <row r="885" spans="10:19" ht="16">
      <c r="J885" s="5" t="str" cm="1">
        <f t="array" ref="J8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5"/>
    </row>
    <row r="886" spans="10:19" ht="16">
      <c r="J886" s="5" t="str" cm="1">
        <f t="array" ref="J8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6"/>
    </row>
    <row r="887" spans="10:19" ht="16">
      <c r="J887" s="5" t="str" cm="1">
        <f t="array" ref="J8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7"/>
    </row>
    <row r="888" spans="10:19" ht="16">
      <c r="J888" s="5" t="str" cm="1">
        <f t="array" ref="J8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8"/>
    </row>
    <row r="889" spans="10:19" ht="16">
      <c r="J889" s="5" t="str" cm="1">
        <f t="array" ref="J8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89"/>
    </row>
    <row r="890" spans="10:19" ht="16">
      <c r="J890" s="5" t="str" cm="1">
        <f t="array" ref="J8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0"/>
    </row>
    <row r="891" spans="10:19" ht="16">
      <c r="J891" s="5" t="str" cm="1">
        <f t="array" ref="J8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1"/>
    </row>
    <row r="892" spans="10:19" ht="16">
      <c r="J892" s="5" t="str" cm="1">
        <f t="array" ref="J8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2"/>
    </row>
    <row r="893" spans="10:19" ht="16">
      <c r="J893" s="5" t="str" cm="1">
        <f t="array" ref="J8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3"/>
    </row>
    <row r="894" spans="10:19" ht="16">
      <c r="J894" s="5" t="str" cm="1">
        <f t="array" ref="J8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4"/>
    </row>
    <row r="895" spans="10:19" ht="16">
      <c r="J895" s="5" t="str" cm="1">
        <f t="array" ref="J8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5"/>
    </row>
    <row r="896" spans="10:19" ht="16">
      <c r="J896" s="5" t="str" cm="1">
        <f t="array" ref="J8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6"/>
    </row>
    <row r="897" spans="10:19" ht="16">
      <c r="J897" s="5" t="str" cm="1">
        <f t="array" ref="J8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7"/>
    </row>
    <row r="898" spans="10:19" ht="16">
      <c r="J898" s="5" t="str" cm="1">
        <f t="array" ref="J8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8"/>
    </row>
    <row r="899" spans="10:19" ht="16">
      <c r="J899" s="5" t="str" cm="1">
        <f t="array" ref="J8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899"/>
    </row>
    <row r="900" spans="10:19" ht="16">
      <c r="J900" s="5" t="str" cm="1">
        <f t="array" ref="J9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0"/>
    </row>
    <row r="901" spans="10:19" ht="16">
      <c r="J901" s="5" t="str" cm="1">
        <f t="array" ref="J9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1"/>
    </row>
    <row r="902" spans="10:19" ht="16">
      <c r="J902" s="5" t="str" cm="1">
        <f t="array" ref="J9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2"/>
    </row>
    <row r="903" spans="10:19" ht="16">
      <c r="J903" s="5" t="str" cm="1">
        <f t="array" ref="J9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3"/>
    </row>
    <row r="904" spans="10:19" ht="16">
      <c r="J904" s="5" t="str" cm="1">
        <f t="array" ref="J9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4"/>
    </row>
    <row r="905" spans="10:19" ht="16">
      <c r="J905" s="5" t="str" cm="1">
        <f t="array" ref="J9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5"/>
    </row>
    <row r="906" spans="10:19" ht="16">
      <c r="J906" s="5" t="str" cm="1">
        <f t="array" ref="J9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6"/>
    </row>
    <row r="907" spans="10:19" ht="16">
      <c r="J907" s="5" t="str" cm="1">
        <f t="array" ref="J9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7"/>
    </row>
    <row r="908" spans="10:19" ht="16">
      <c r="J908" s="5" t="str" cm="1">
        <f t="array" ref="J9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8"/>
    </row>
    <row r="909" spans="10:19" ht="16">
      <c r="J909" s="5" t="str" cm="1">
        <f t="array" ref="J9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09"/>
    </row>
    <row r="910" spans="10:19" ht="16">
      <c r="J910" s="5" t="str" cm="1">
        <f t="array" ref="J9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0"/>
    </row>
    <row r="911" spans="10:19" ht="16">
      <c r="J911" s="5" t="str" cm="1">
        <f t="array" ref="J9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1"/>
    </row>
    <row r="912" spans="10:19" ht="16">
      <c r="J912" s="5" t="str" cm="1">
        <f t="array" ref="J9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2"/>
    </row>
    <row r="913" spans="10:19" ht="16">
      <c r="J913" s="5" t="str" cm="1">
        <f t="array" ref="J9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3"/>
    </row>
    <row r="914" spans="10:19" ht="16">
      <c r="J914" s="5" t="str" cm="1">
        <f t="array" ref="J9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4"/>
    </row>
    <row r="915" spans="10:19" ht="16">
      <c r="J915" s="5" t="str" cm="1">
        <f t="array" ref="J9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5"/>
    </row>
    <row r="916" spans="10:19" ht="16">
      <c r="J916" s="5" t="str" cm="1">
        <f t="array" ref="J9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6"/>
    </row>
    <row r="917" spans="10:19" ht="16">
      <c r="J917" s="5" t="str" cm="1">
        <f t="array" ref="J9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7"/>
    </row>
    <row r="918" spans="10:19" ht="16">
      <c r="J918" s="5" t="str" cm="1">
        <f t="array" ref="J9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8"/>
    </row>
    <row r="919" spans="10:19" ht="16">
      <c r="J919" s="5" t="str" cm="1">
        <f t="array" ref="J9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19"/>
    </row>
    <row r="920" spans="10:19" ht="16">
      <c r="J920" s="5" t="str" cm="1">
        <f t="array" ref="J9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0"/>
    </row>
    <row r="921" spans="10:19" ht="16">
      <c r="J921" s="5" t="str" cm="1">
        <f t="array" ref="J9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1"/>
    </row>
    <row r="922" spans="10:19" ht="16">
      <c r="J922" s="5" t="str" cm="1">
        <f t="array" ref="J9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2"/>
    </row>
    <row r="923" spans="10:19" ht="16">
      <c r="J923" s="5" t="str" cm="1">
        <f t="array" ref="J9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3"/>
    </row>
    <row r="924" spans="10:19" ht="16">
      <c r="J924" s="5" t="str" cm="1">
        <f t="array" ref="J9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4"/>
    </row>
    <row r="925" spans="10:19" ht="16">
      <c r="J925" s="5" t="str" cm="1">
        <f t="array" ref="J9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5"/>
    </row>
    <row r="926" spans="10:19" ht="16">
      <c r="J926" s="5" t="str" cm="1">
        <f t="array" ref="J9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6"/>
    </row>
    <row r="927" spans="10:19" ht="16">
      <c r="J927" s="5" t="str" cm="1">
        <f t="array" ref="J9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7"/>
    </row>
    <row r="928" spans="10:19" ht="16">
      <c r="J928" s="5" t="str" cm="1">
        <f t="array" ref="J9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8"/>
    </row>
    <row r="929" spans="10:19" ht="16">
      <c r="J929" s="5" t="str" cm="1">
        <f t="array" ref="J92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29"/>
    </row>
    <row r="930" spans="10:19" ht="16">
      <c r="J930" s="5" t="str" cm="1">
        <f t="array" ref="J93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0"/>
    </row>
    <row r="931" spans="10:19" ht="16">
      <c r="J931" s="5" t="str" cm="1">
        <f t="array" ref="J93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1"/>
    </row>
    <row r="932" spans="10:19" ht="16">
      <c r="J932" s="5" t="str" cm="1">
        <f t="array" ref="J93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2"/>
    </row>
    <row r="933" spans="10:19" ht="16">
      <c r="J933" s="5" t="str" cm="1">
        <f t="array" ref="J93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3"/>
    </row>
    <row r="934" spans="10:19" ht="16">
      <c r="J934" s="5" t="str" cm="1">
        <f t="array" ref="J93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4"/>
    </row>
    <row r="935" spans="10:19" ht="16">
      <c r="J935" s="5" t="str" cm="1">
        <f t="array" ref="J93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5"/>
    </row>
    <row r="936" spans="10:19" ht="16">
      <c r="J936" s="5" t="str" cm="1">
        <f t="array" ref="J93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6"/>
    </row>
    <row r="937" spans="10:19" ht="16">
      <c r="J937" s="5" t="str" cm="1">
        <f t="array" ref="J93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7"/>
    </row>
    <row r="938" spans="10:19" ht="16">
      <c r="J938" s="5" t="str" cm="1">
        <f t="array" ref="J93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8"/>
    </row>
    <row r="939" spans="10:19" ht="16">
      <c r="J939" s="5" t="str" cm="1">
        <f t="array" ref="J93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39"/>
    </row>
    <row r="940" spans="10:19" ht="16">
      <c r="J940" s="5" t="str" cm="1">
        <f t="array" ref="J94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0"/>
    </row>
    <row r="941" spans="10:19" ht="16">
      <c r="J941" s="5" t="str" cm="1">
        <f t="array" ref="J94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1"/>
    </row>
    <row r="942" spans="10:19" ht="16">
      <c r="J942" s="5" t="str" cm="1">
        <f t="array" ref="J94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2"/>
    </row>
    <row r="943" spans="10:19" ht="16">
      <c r="J943" s="5" t="str" cm="1">
        <f t="array" ref="J94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3"/>
    </row>
    <row r="944" spans="10:19" ht="16">
      <c r="J944" s="5" t="str" cm="1">
        <f t="array" ref="J94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4"/>
    </row>
    <row r="945" spans="10:19" ht="16">
      <c r="J945" s="5" t="str" cm="1">
        <f t="array" ref="J94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5"/>
    </row>
    <row r="946" spans="10:19" ht="16">
      <c r="J946" s="5" t="str" cm="1">
        <f t="array" ref="J94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6"/>
    </row>
    <row r="947" spans="10:19" ht="16">
      <c r="J947" s="5" t="str" cm="1">
        <f t="array" ref="J94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7"/>
    </row>
    <row r="948" spans="10:19" ht="16">
      <c r="J948" s="5" t="str" cm="1">
        <f t="array" ref="J94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8"/>
    </row>
    <row r="949" spans="10:19" ht="16">
      <c r="J949" s="5" t="str" cm="1">
        <f t="array" ref="J94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49"/>
    </row>
    <row r="950" spans="10:19" ht="16">
      <c r="J950" s="5" t="str" cm="1">
        <f t="array" ref="J95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0"/>
    </row>
    <row r="951" spans="10:19" ht="16">
      <c r="J951" s="5" t="str" cm="1">
        <f t="array" ref="J95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1"/>
    </row>
    <row r="952" spans="10:19" ht="16">
      <c r="J952" s="5" t="str" cm="1">
        <f t="array" ref="J95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2"/>
    </row>
    <row r="953" spans="10:19" ht="16">
      <c r="J953" s="5" t="str" cm="1">
        <f t="array" ref="J95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3"/>
    </row>
    <row r="954" spans="10:19" ht="16">
      <c r="J954" s="5" t="str" cm="1">
        <f t="array" ref="J95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4"/>
    </row>
    <row r="955" spans="10:19" ht="16">
      <c r="J955" s="5" t="str" cm="1">
        <f t="array" ref="J95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5"/>
    </row>
    <row r="956" spans="10:19" ht="16">
      <c r="J956" s="5" t="str" cm="1">
        <f t="array" ref="J95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6"/>
    </row>
    <row r="957" spans="10:19" ht="16">
      <c r="J957" s="5" t="str" cm="1">
        <f t="array" ref="J95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7"/>
    </row>
    <row r="958" spans="10:19" ht="16">
      <c r="J958" s="5" t="str" cm="1">
        <f t="array" ref="J95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8"/>
    </row>
    <row r="959" spans="10:19" ht="16">
      <c r="J959" s="5" t="str" cm="1">
        <f t="array" ref="J95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59"/>
    </row>
    <row r="960" spans="10:19" ht="16">
      <c r="J960" s="5" t="str" cm="1">
        <f t="array" ref="J96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0"/>
    </row>
    <row r="961" spans="10:19" ht="16">
      <c r="J961" s="5" t="str" cm="1">
        <f t="array" ref="J96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1"/>
    </row>
    <row r="962" spans="10:19" ht="16">
      <c r="J962" s="5" t="str" cm="1">
        <f t="array" ref="J96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2"/>
    </row>
    <row r="963" spans="10:19" ht="16">
      <c r="J963" s="5" t="str" cm="1">
        <f t="array" ref="J96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3"/>
    </row>
    <row r="964" spans="10:19" ht="16">
      <c r="J964" s="5" t="str" cm="1">
        <f t="array" ref="J96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4"/>
    </row>
    <row r="965" spans="10:19" ht="16">
      <c r="J965" s="5" t="str" cm="1">
        <f t="array" ref="J96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5"/>
    </row>
    <row r="966" spans="10:19" ht="16">
      <c r="J966" s="5" t="str" cm="1">
        <f t="array" ref="J96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6"/>
    </row>
    <row r="967" spans="10:19" ht="16">
      <c r="J967" s="5" t="str" cm="1">
        <f t="array" ref="J96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7"/>
    </row>
    <row r="968" spans="10:19" ht="16">
      <c r="J968" s="5" t="str" cm="1">
        <f t="array" ref="J96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8"/>
    </row>
    <row r="969" spans="10:19" ht="16">
      <c r="J969" s="5" t="str" cm="1">
        <f t="array" ref="J96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69"/>
    </row>
    <row r="970" spans="10:19" ht="16">
      <c r="J970" s="5" t="str" cm="1">
        <f t="array" ref="J97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0"/>
    </row>
    <row r="971" spans="10:19" ht="16">
      <c r="J971" s="5" t="str" cm="1">
        <f t="array" ref="J97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1"/>
    </row>
    <row r="972" spans="10:19" ht="16">
      <c r="J972" s="5" t="str" cm="1">
        <f t="array" ref="J97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2"/>
    </row>
    <row r="973" spans="10:19" ht="16">
      <c r="J973" s="5" t="str" cm="1">
        <f t="array" ref="J97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3"/>
    </row>
    <row r="974" spans="10:19" ht="16">
      <c r="J974" s="5" t="str" cm="1">
        <f t="array" ref="J97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4"/>
    </row>
    <row r="975" spans="10:19" ht="16">
      <c r="J975" s="5" t="str" cm="1">
        <f t="array" ref="J97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5"/>
    </row>
    <row r="976" spans="10:19" ht="16">
      <c r="J976" s="5" t="str" cm="1">
        <f t="array" ref="J97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6"/>
    </row>
    <row r="977" spans="10:19" ht="16">
      <c r="J977" s="5" t="str" cm="1">
        <f t="array" ref="J97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7"/>
    </row>
    <row r="978" spans="10:19" ht="16">
      <c r="J978" s="5" t="str" cm="1">
        <f t="array" ref="J97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8"/>
    </row>
    <row r="979" spans="10:19" ht="16">
      <c r="J979" s="5" t="str" cm="1">
        <f t="array" ref="J97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79"/>
    </row>
    <row r="980" spans="10:19" ht="16">
      <c r="J980" s="5" t="str" cm="1">
        <f t="array" ref="J98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0"/>
    </row>
    <row r="981" spans="10:19" ht="16">
      <c r="J981" s="5" t="str" cm="1">
        <f t="array" ref="J98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1"/>
    </row>
    <row r="982" spans="10:19" ht="16">
      <c r="J982" s="5" t="str" cm="1">
        <f t="array" ref="J98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2"/>
    </row>
    <row r="983" spans="10:19" ht="16">
      <c r="J983" s="5" t="str" cm="1">
        <f t="array" ref="J98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3"/>
    </row>
    <row r="984" spans="10:19" ht="16">
      <c r="J984" s="5" t="str" cm="1">
        <f t="array" ref="J98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4"/>
    </row>
    <row r="985" spans="10:19" ht="16">
      <c r="J985" s="5" t="str" cm="1">
        <f t="array" ref="J98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5"/>
    </row>
    <row r="986" spans="10:19" ht="16">
      <c r="J986" s="5" t="str" cm="1">
        <f t="array" ref="J98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6"/>
    </row>
    <row r="987" spans="10:19" ht="16">
      <c r="J987" s="5" t="str" cm="1">
        <f t="array" ref="J98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7"/>
    </row>
    <row r="988" spans="10:19" ht="16">
      <c r="J988" s="5" t="str" cm="1">
        <f t="array" ref="J98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8"/>
    </row>
    <row r="989" spans="10:19" ht="16">
      <c r="J989" s="5" t="str" cm="1">
        <f t="array" ref="J98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89"/>
    </row>
    <row r="990" spans="10:19" ht="16">
      <c r="J990" s="5" t="str" cm="1">
        <f t="array" ref="J99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0"/>
    </row>
    <row r="991" spans="10:19" ht="16">
      <c r="J991" s="5" t="str" cm="1">
        <f t="array" ref="J99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1"/>
    </row>
    <row r="992" spans="10:19" ht="16">
      <c r="J992" s="5" t="str" cm="1">
        <f t="array" ref="J99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2"/>
    </row>
    <row r="993" spans="10:19" ht="16">
      <c r="J993" s="5" t="str" cm="1">
        <f t="array" ref="J99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3"/>
    </row>
    <row r="994" spans="10:19" ht="16">
      <c r="J994" s="5" t="str" cm="1">
        <f t="array" ref="J99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4"/>
    </row>
    <row r="995" spans="10:19" ht="16">
      <c r="J995" s="5" t="str" cm="1">
        <f t="array" ref="J99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5"/>
    </row>
    <row r="996" spans="10:19" ht="16">
      <c r="J996" s="5" t="str" cm="1">
        <f t="array" ref="J99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6"/>
    </row>
    <row r="997" spans="10:19" ht="16">
      <c r="J997" s="5" t="str" cm="1">
        <f t="array" ref="J99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7"/>
    </row>
    <row r="998" spans="10:19" ht="16">
      <c r="J998" s="5" t="str" cm="1">
        <f t="array" ref="J99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8"/>
    </row>
    <row r="999" spans="10:19" ht="16">
      <c r="J999" s="5" t="str" cm="1">
        <f t="array" ref="J99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999"/>
    </row>
    <row r="1000" spans="10:19" ht="16">
      <c r="J1000" s="5" t="str" cm="1">
        <f t="array" ref="J100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0"/>
    </row>
    <row r="1001" spans="10:19" ht="16">
      <c r="J1001" s="5" t="str" cm="1">
        <f t="array" ref="J100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1"/>
    </row>
    <row r="1002" spans="10:19" ht="16">
      <c r="J1002" s="5" t="str" cm="1">
        <f t="array" ref="J100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2"/>
    </row>
    <row r="1003" spans="10:19" ht="16">
      <c r="J1003" s="5" t="str" cm="1">
        <f t="array" ref="J100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3"/>
    </row>
    <row r="1004" spans="10:19" ht="16">
      <c r="J1004" s="5" t="str" cm="1">
        <f t="array" ref="J100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4"/>
    </row>
    <row r="1005" spans="10:19" ht="16">
      <c r="J1005" s="5" t="str" cm="1">
        <f t="array" ref="J100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5"/>
    </row>
    <row r="1006" spans="10:19" ht="16">
      <c r="J1006" s="5" t="str" cm="1">
        <f t="array" ref="J100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6"/>
    </row>
    <row r="1007" spans="10:19" ht="16">
      <c r="J1007" s="5" t="str" cm="1">
        <f t="array" ref="J100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7"/>
    </row>
    <row r="1008" spans="10:19" ht="16">
      <c r="J1008" s="5" t="str" cm="1">
        <f t="array" ref="J100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8"/>
    </row>
    <row r="1009" spans="1:19" ht="16">
      <c r="J1009" s="5" t="str" cm="1">
        <f t="array" ref="J100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09"/>
    </row>
    <row r="1010" spans="1:19" ht="16">
      <c r="J1010" s="5" t="str" cm="1">
        <f t="array" ref="J101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0"/>
    </row>
    <row r="1011" spans="1:19" ht="16">
      <c r="J1011" s="5" t="str" cm="1">
        <f t="array" ref="J101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1"/>
    </row>
    <row r="1012" spans="1:19" ht="16">
      <c r="J1012" s="5" t="str" cm="1">
        <f t="array" ref="J101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2"/>
    </row>
    <row r="1013" spans="1:19" ht="16">
      <c r="J1013" s="5" t="str" cm="1">
        <f t="array" ref="J101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3"/>
    </row>
    <row r="1014" spans="1:19" ht="16">
      <c r="J1014" s="5" t="str" cm="1">
        <f t="array" ref="J101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4"/>
    </row>
    <row r="1015" spans="1:19" ht="16">
      <c r="J1015" s="5" t="str" cm="1">
        <f t="array" ref="J101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5"/>
    </row>
    <row r="1016" spans="1:19" ht="16">
      <c r="J1016" s="5" t="str" cm="1">
        <f t="array" ref="J101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6"/>
    </row>
    <row r="1017" spans="1:19" ht="16">
      <c r="J1017" s="5" t="str" cm="1">
        <f t="array" ref="J101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7"/>
    </row>
    <row r="1018" spans="1:19" ht="16">
      <c r="J1018" s="5" t="str" cm="1">
        <f t="array" ref="J101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8"/>
    </row>
    <row r="1019" spans="1:19" ht="16">
      <c r="D1019" t="s">
        <v>19</v>
      </c>
      <c r="J1019" s="5" t="str" cm="1">
        <f t="array" ref="J1019">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19"/>
    </row>
    <row r="1020" spans="1:19" ht="34">
      <c r="A1020" s="12" t="s">
        <v>124</v>
      </c>
      <c r="C1020" s="12" t="s">
        <v>42</v>
      </c>
      <c r="D1020" s="12" t="s">
        <v>40</v>
      </c>
      <c r="J1020" s="5" t="str" cm="1">
        <f t="array" ref="J1020">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0" s="11" t="s">
        <v>125</v>
      </c>
    </row>
    <row r="1021" spans="1:19" ht="34">
      <c r="A1021" s="12" t="s">
        <v>124</v>
      </c>
      <c r="C1021" s="12" t="s">
        <v>42</v>
      </c>
      <c r="D1021" s="12" t="s">
        <v>19</v>
      </c>
      <c r="J1021" s="5" t="str" cm="1">
        <f t="array" ref="J1021">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1" s="11" t="s">
        <v>126</v>
      </c>
    </row>
    <row r="1022" spans="1:19" ht="34">
      <c r="A1022" s="12" t="s">
        <v>127</v>
      </c>
      <c r="C1022" s="12" t="s">
        <v>42</v>
      </c>
      <c r="D1022" s="12" t="s">
        <v>63</v>
      </c>
      <c r="J1022" s="5" t="str" cm="1">
        <f t="array" ref="J1022">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2" s="11" t="s">
        <v>128</v>
      </c>
    </row>
    <row r="1023" spans="1:19" ht="34">
      <c r="A1023" s="12" t="s">
        <v>127</v>
      </c>
      <c r="C1023" s="12" t="s">
        <v>42</v>
      </c>
      <c r="D1023" s="12" t="s">
        <v>117</v>
      </c>
      <c r="J1023" s="5" t="str" cm="1">
        <f t="array" ref="J1023">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3" s="11" t="s">
        <v>129</v>
      </c>
    </row>
    <row r="1024" spans="1:19" ht="34">
      <c r="A1024" s="12" t="s">
        <v>127</v>
      </c>
      <c r="C1024" s="12" t="s">
        <v>42</v>
      </c>
      <c r="D1024" s="12" t="s">
        <v>118</v>
      </c>
      <c r="J1024" s="5" t="str" cm="1">
        <f t="array" ref="J1024">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4" s="11" t="s">
        <v>129</v>
      </c>
    </row>
    <row r="1025" spans="1:19" ht="34">
      <c r="A1025" s="12" t="s">
        <v>130</v>
      </c>
      <c r="C1025" s="12" t="s">
        <v>42</v>
      </c>
      <c r="D1025" s="12" t="s">
        <v>118</v>
      </c>
      <c r="J1025" s="5" t="str" cm="1">
        <f t="array" ref="J1025">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5" s="11" t="s">
        <v>131</v>
      </c>
    </row>
    <row r="1026" spans="1:19" ht="15" customHeight="1">
      <c r="A1026" t="s">
        <v>132</v>
      </c>
      <c r="C1026" t="s">
        <v>42</v>
      </c>
      <c r="J1026" s="5" t="str" cm="1">
        <f t="array" ref="J1026">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6" s="11" t="s">
        <v>133</v>
      </c>
    </row>
    <row r="1027" spans="1:19" ht="30" customHeight="1">
      <c r="A1027" t="s">
        <v>134</v>
      </c>
      <c r="C1027" t="s">
        <v>42</v>
      </c>
      <c r="D1027" t="s">
        <v>39</v>
      </c>
      <c r="J1027" s="5" t="str" cm="1">
        <f t="array" ref="J1027">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7" s="11" t="s">
        <v>135</v>
      </c>
    </row>
    <row r="1028" spans="1:19" ht="31.5" customHeight="1">
      <c r="A1028" t="s">
        <v>136</v>
      </c>
      <c r="C1028" t="s">
        <v>42</v>
      </c>
      <c r="D1028" t="s">
        <v>19</v>
      </c>
      <c r="J1028" s="5" t="str" cm="1">
        <f t="array" ref="J1028">IFERROR(AVERAGE(
    INDEX(RefScore[score], MATCH(1, (RefScore[category]="Customer Segment")*(RefScore[value]=MainTable[[#This Row],[Customer Segment]]), 0)),
    INDEX(RefScore[score], MATCH(1, (RefScore[category]="Technologies")*(RefScore[value]=MainTable[[#This Row],[Technologies]]), 0)),
    INDEX(RefScore[score], MATCH(1, (RefScore[category]="Existing Services")*(RefScore[value]=MainTable[[#This Row],[Existing Services]]), 0)),
    INDEX(RefScore[score], MATCH(1, (RefScore[category]="Approximate Deal Size")*(RefScore[value]=MainTable[[#This Row],[Approximate Deal Size]]), 0)),
    INDEX(RefScore[score], MATCH(1, (RefScore[category]="Customer Network Access")*(RefScore[value]=MainTable[[#This Row],[Customer Network Access]]), 0)),
    INDEX(RefScore[score], MATCH(1, (RefScore[category]="Start Date")*(RefScore[value]=MainTable[[#This Row],[Start Date]]), 0)),
    INDEX(RefScore[score], MATCH(1, (RefScore[category]="Implementation Team")*(RefScore[value]=MainTable[[#This Row],[Implementation Team]]), 0))
), "")</f>
        <v/>
      </c>
      <c r="S1028" s="11" t="s">
        <v>137</v>
      </c>
    </row>
  </sheetData>
  <phoneticPr fontId="2" type="noConversion"/>
  <conditionalFormatting sqref="B2:B1048576">
    <cfRule type="containsText" dxfId="1" priority="1" operator="containsText" text="None">
      <formula>NOT(ISERROR(SEARCH("None",B2)))</formula>
    </cfRule>
    <cfRule type="containsText" dxfId="0" priority="2" operator="containsText" text="High">
      <formula>NOT(ISERROR(SEARCH("High",B2)))</formula>
    </cfRule>
  </conditionalFormatting>
  <conditionalFormatting sqref="J2:J1048576">
    <cfRule type="colorScale" priority="3">
      <colorScale>
        <cfvo type="num" val="0"/>
        <cfvo type="num" val="5"/>
        <cfvo type="num" val="10"/>
        <color rgb="FFFF0000"/>
        <color rgb="FFFFFF00"/>
        <color rgb="FF00B050"/>
      </colorScale>
    </cfRule>
  </conditionalFormatting>
  <dataValidations count="8">
    <dataValidation type="list" allowBlank="1" showInputMessage="1" showErrorMessage="1" sqref="C2:C1048576" xr:uid="{7EF5D94A-8B96-A24D-8010-A1438EA78DDA}">
      <formula1>INDIRECT("RefValues[cust_segment]")</formula1>
    </dataValidation>
    <dataValidation type="list" allowBlank="1" showInputMessage="1" showErrorMessage="1" sqref="D2:D1048576" xr:uid="{D23BEB03-E63C-1742-A6CB-6F3FC20F04A8}">
      <formula1>INDIRECT("RefValues[tech]")</formula1>
    </dataValidation>
    <dataValidation type="list" allowBlank="1" showInputMessage="1" showErrorMessage="1" sqref="E2:E1048576" xr:uid="{A0E0E476-38C8-014A-9023-7E62EB434528}">
      <formula1>INDIRECT("RefValues[ext_svc]")</formula1>
    </dataValidation>
    <dataValidation type="list" allowBlank="1" showInputMessage="1" showErrorMessage="1" sqref="F2:F1048576" xr:uid="{F457A833-CDA3-DB4E-A2B1-D1C54F545666}">
      <formula1>INDIRECT("RefValues[deal_size]")</formula1>
    </dataValidation>
    <dataValidation type="list" allowBlank="1" showInputMessage="1" showErrorMessage="1" sqref="G2:G1048576" xr:uid="{0B621ED8-EDF0-1F45-9D0A-8C8C16E853F1}">
      <formula1>INDIRECT("RefValues[net_access]")</formula1>
    </dataValidation>
    <dataValidation type="list" allowBlank="1" showInputMessage="1" showErrorMessage="1" sqref="I2:I1048576" xr:uid="{23D1C45A-4F96-0B49-BCE7-6F764A985BB1}">
      <formula1>INDIRECT("RefValues[impl_team]")</formula1>
    </dataValidation>
    <dataValidation type="list" operator="greaterThan" allowBlank="1" showInputMessage="1" showErrorMessage="1" sqref="H2:H1048576" xr:uid="{BF4B1AA4-439F-134A-BD83-F70FADBD4074}">
      <formula1>INDIRECT("RefValues[start_date]")</formula1>
    </dataValidation>
    <dataValidation type="list" allowBlank="1" showInputMessage="1" showErrorMessage="1" sqref="B2:B1048576" xr:uid="{3F5330F4-2F45-C14F-A8C4-AC9BBCDCBEFD}">
      <formula1>INDIRECT("RefValues[priority]")</formula1>
    </dataValidation>
  </dataValidations>
  <pageMargins left="0.7" right="0.7" top="0.75" bottom="0.75" header="0.3" footer="0.3"/>
  <headerFooter>
    <oddFooter>&amp;R_x000D_&amp;1#&amp;"Aptos"&amp;8&amp;K000000 Cisco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8F6FB-CAB1-9746-AB23-167964713864}">
  <dimension ref="B2:M42"/>
  <sheetViews>
    <sheetView topLeftCell="F1" zoomScale="150" zoomScaleNormal="150" workbookViewId="0">
      <selection activeCell="M3" sqref="M3"/>
    </sheetView>
  </sheetViews>
  <sheetFormatPr baseColWidth="10" defaultColWidth="11.5" defaultRowHeight="16"/>
  <cols>
    <col min="2" max="2" width="19" customWidth="1"/>
    <col min="3" max="3" width="14" customWidth="1"/>
    <col min="4" max="4" width="17.33203125" customWidth="1"/>
    <col min="5" max="5" width="21.5" customWidth="1"/>
    <col min="6" max="6" width="16.6640625" customWidth="1"/>
    <col min="7" max="7" width="27.6640625" customWidth="1"/>
    <col min="8" max="8" width="20.6640625" customWidth="1"/>
    <col min="11" max="11" width="22.5" bestFit="1" customWidth="1"/>
    <col min="12" max="12" width="17.1640625" customWidth="1"/>
  </cols>
  <sheetData>
    <row r="2" spans="2:13" ht="17">
      <c r="B2" s="2" t="s">
        <v>138</v>
      </c>
      <c r="C2" s="2" t="s">
        <v>139</v>
      </c>
      <c r="D2" s="2" t="s">
        <v>140</v>
      </c>
      <c r="E2" s="2" t="s">
        <v>141</v>
      </c>
      <c r="F2" s="2" t="s">
        <v>142</v>
      </c>
      <c r="G2" s="2" t="s">
        <v>143</v>
      </c>
      <c r="H2" s="2" t="s">
        <v>144</v>
      </c>
      <c r="I2" s="2" t="s">
        <v>145</v>
      </c>
      <c r="K2" t="s">
        <v>146</v>
      </c>
      <c r="L2" t="s">
        <v>147</v>
      </c>
      <c r="M2" t="s">
        <v>148</v>
      </c>
    </row>
    <row r="3" spans="2:13">
      <c r="B3" t="s">
        <v>35</v>
      </c>
      <c r="C3" t="s">
        <v>19</v>
      </c>
      <c r="D3" t="s">
        <v>20</v>
      </c>
      <c r="E3" t="s">
        <v>105</v>
      </c>
      <c r="F3" t="s">
        <v>22</v>
      </c>
      <c r="G3" t="s">
        <v>23</v>
      </c>
      <c r="H3" t="s">
        <v>43</v>
      </c>
      <c r="I3" t="s">
        <v>27</v>
      </c>
      <c r="K3" t="str">
        <f>MainTable[[#Headers],[Customer Segment]]</f>
        <v>Customer Segment</v>
      </c>
      <c r="L3" t="str">
        <f>RefValues[[#This Row],[cust_segment]]</f>
        <v>GES-East</v>
      </c>
      <c r="M3" s="3">
        <v>7</v>
      </c>
    </row>
    <row r="4" spans="2:13">
      <c r="B4" t="s">
        <v>42</v>
      </c>
      <c r="C4" t="s">
        <v>39</v>
      </c>
      <c r="D4" t="s">
        <v>29</v>
      </c>
      <c r="E4" t="s">
        <v>21</v>
      </c>
      <c r="F4" t="s">
        <v>36</v>
      </c>
      <c r="G4" t="s">
        <v>31</v>
      </c>
      <c r="H4" t="s">
        <v>24</v>
      </c>
      <c r="I4" t="s">
        <v>34</v>
      </c>
      <c r="K4" t="str">
        <f>MainTable[[#Headers],[Customer Segment]]</f>
        <v>Customer Segment</v>
      </c>
      <c r="L4" t="str">
        <f>RefValues[[#This Row],[cust_segment]]</f>
        <v>GES-West</v>
      </c>
      <c r="M4" s="3">
        <v>2</v>
      </c>
    </row>
    <row r="5" spans="2:13">
      <c r="B5" t="s">
        <v>18</v>
      </c>
      <c r="C5" t="s">
        <v>40</v>
      </c>
      <c r="D5" t="s">
        <v>62</v>
      </c>
      <c r="E5" t="s">
        <v>54</v>
      </c>
      <c r="G5" t="s">
        <v>37</v>
      </c>
      <c r="H5" t="s">
        <v>75</v>
      </c>
      <c r="I5" t="s">
        <v>17</v>
      </c>
      <c r="K5" t="str">
        <f>MainTable[[#Headers],[Customer Segment]]</f>
        <v>Customer Segment</v>
      </c>
      <c r="L5" t="str">
        <f>RefValues[[#This Row],[cust_segment]]</f>
        <v>GES-Central</v>
      </c>
      <c r="M5" s="3">
        <v>2</v>
      </c>
    </row>
    <row r="6" spans="2:13">
      <c r="B6" t="s">
        <v>28</v>
      </c>
      <c r="C6" t="s">
        <v>58</v>
      </c>
      <c r="D6" t="s">
        <v>47</v>
      </c>
      <c r="E6" t="s">
        <v>30</v>
      </c>
      <c r="G6" t="s">
        <v>108</v>
      </c>
      <c r="H6" t="s">
        <v>38</v>
      </c>
      <c r="K6" t="str">
        <f>MainTable[[#Headers],[Customer Segment]]</f>
        <v>Customer Segment</v>
      </c>
      <c r="L6" t="str">
        <f>RefValues[[#This Row],[cust_segment]]</f>
        <v>GES-Premier</v>
      </c>
      <c r="M6" s="3">
        <v>3</v>
      </c>
    </row>
    <row r="7" spans="2:13">
      <c r="B7" t="s">
        <v>149</v>
      </c>
      <c r="C7" t="s">
        <v>78</v>
      </c>
      <c r="D7" t="s">
        <v>150</v>
      </c>
      <c r="G7" t="s">
        <v>151</v>
      </c>
      <c r="H7" t="s">
        <v>47</v>
      </c>
      <c r="K7" t="str">
        <f>MainTable[[#Headers],[Customer Segment]]</f>
        <v>Customer Segment</v>
      </c>
      <c r="L7" t="str">
        <f>RefValues[[#This Row],[cust_segment]]</f>
        <v>Other</v>
      </c>
      <c r="M7" s="3">
        <v>1</v>
      </c>
    </row>
    <row r="8" spans="2:13">
      <c r="C8" t="s">
        <v>117</v>
      </c>
      <c r="D8" t="s">
        <v>17</v>
      </c>
      <c r="H8" t="s">
        <v>149</v>
      </c>
      <c r="K8" t="str">
        <f>MainTable[[#Headers],[Technologies]]</f>
        <v>Technologies</v>
      </c>
      <c r="L8" t="str">
        <f>C3</f>
        <v>SD-WAN</v>
      </c>
      <c r="M8" s="3">
        <v>10</v>
      </c>
    </row>
    <row r="9" spans="2:13">
      <c r="C9" t="s">
        <v>118</v>
      </c>
      <c r="D9" t="s">
        <v>149</v>
      </c>
      <c r="K9" t="str">
        <f>MainTable[[#Headers],[Technologies]]</f>
        <v>Technologies</v>
      </c>
      <c r="L9" t="str">
        <f t="shared" ref="L9:L16" si="0">C4</f>
        <v>Cat-C/SDA</v>
      </c>
      <c r="M9" s="3">
        <v>8</v>
      </c>
    </row>
    <row r="10" spans="2:13">
      <c r="C10" t="s">
        <v>63</v>
      </c>
      <c r="K10" t="str">
        <f>MainTable[[#Headers],[Technologies]]</f>
        <v>Technologies</v>
      </c>
      <c r="L10" t="str">
        <f t="shared" si="0"/>
        <v>ACI</v>
      </c>
      <c r="M10" s="3">
        <v>10</v>
      </c>
    </row>
    <row r="11" spans="2:13">
      <c r="C11" t="s">
        <v>93</v>
      </c>
      <c r="K11" t="str">
        <f>MainTable[[#Headers],[Technologies]]</f>
        <v>Technologies</v>
      </c>
      <c r="L11" t="str">
        <f t="shared" si="0"/>
        <v>NDFC</v>
      </c>
      <c r="M11" s="3">
        <v>10</v>
      </c>
    </row>
    <row r="12" spans="2:13">
      <c r="C12" t="s">
        <v>49</v>
      </c>
      <c r="K12" t="str">
        <f>MainTable[[#Headers],[Technologies]]</f>
        <v>Technologies</v>
      </c>
      <c r="L12" t="str">
        <f t="shared" si="0"/>
        <v>IOS-XE</v>
      </c>
      <c r="M12" s="3">
        <v>5</v>
      </c>
    </row>
    <row r="13" spans="2:13">
      <c r="C13" t="s">
        <v>152</v>
      </c>
      <c r="K13" t="str">
        <f>MainTable[[#Headers],[Technologies]]</f>
        <v>Technologies</v>
      </c>
      <c r="L13" t="str">
        <f t="shared" si="0"/>
        <v>IOS-XR</v>
      </c>
      <c r="M13" s="3">
        <v>2</v>
      </c>
    </row>
    <row r="14" spans="2:13">
      <c r="K14" t="str">
        <f>MainTable[[#Headers],[Technologies]]</f>
        <v>Technologies</v>
      </c>
      <c r="L14" t="str">
        <f t="shared" si="0"/>
        <v>NX-OS</v>
      </c>
      <c r="M14" s="3">
        <v>3</v>
      </c>
    </row>
    <row r="15" spans="2:13">
      <c r="K15" t="str">
        <f>MainTable[[#Headers],[Technologies]]</f>
        <v>Technologies</v>
      </c>
      <c r="L15" t="str">
        <f t="shared" si="0"/>
        <v>ISE</v>
      </c>
      <c r="M15" s="3">
        <v>5</v>
      </c>
    </row>
    <row r="16" spans="2:13">
      <c r="K16" t="str">
        <f>MainTable[[#Headers],[Technologies]]</f>
        <v>Technologies</v>
      </c>
      <c r="L16" t="str">
        <f t="shared" si="0"/>
        <v>FMC</v>
      </c>
      <c r="M16" s="3">
        <v>1</v>
      </c>
    </row>
    <row r="17" spans="11:13">
      <c r="K17" t="str">
        <f>MainTable[[#Headers],[Technologies]]</f>
        <v>Technologies</v>
      </c>
      <c r="L17" t="str">
        <f>C13</f>
        <v>Multiple</v>
      </c>
      <c r="M17" s="3">
        <v>8</v>
      </c>
    </row>
    <row r="18" spans="11:13">
      <c r="K18" t="str">
        <f>MainTable[[#Headers],[Technologies]]</f>
        <v>Technologies</v>
      </c>
      <c r="L18" t="str">
        <f>C12</f>
        <v>Meraki</v>
      </c>
      <c r="M18" s="3">
        <v>10</v>
      </c>
    </row>
    <row r="19" spans="11:13">
      <c r="K19" t="str">
        <f>MainTable[[#Headers],[Existing Services]]</f>
        <v>Existing Services</v>
      </c>
      <c r="L19" t="str">
        <f>D3</f>
        <v>PDI</v>
      </c>
      <c r="M19" s="3">
        <v>5</v>
      </c>
    </row>
    <row r="20" spans="11:13">
      <c r="K20" t="str">
        <f>MainTable[[#Headers],[Existing Services]]</f>
        <v>Existing Services</v>
      </c>
      <c r="L20" t="str">
        <f t="shared" ref="L20:L25" si="1">D4</f>
        <v>BCS/LCS</v>
      </c>
      <c r="M20" s="3">
        <v>7</v>
      </c>
    </row>
    <row r="21" spans="11:13">
      <c r="K21" t="str">
        <f>MainTable[[#Headers],[Existing Services]]</f>
        <v>Existing Services</v>
      </c>
      <c r="L21" t="str">
        <f t="shared" si="1"/>
        <v>SME/SAS</v>
      </c>
      <c r="M21" s="3">
        <v>5</v>
      </c>
    </row>
    <row r="22" spans="11:13">
      <c r="K22" t="str">
        <f>MainTable[[#Headers],[Existing Services]]</f>
        <v>Existing Services</v>
      </c>
      <c r="L22" t="str">
        <f t="shared" si="1"/>
        <v>CMS</v>
      </c>
      <c r="M22" s="3">
        <v>9</v>
      </c>
    </row>
    <row r="23" spans="11:13">
      <c r="K23" t="str">
        <f>MainTable[[#Headers],[Existing Services]]</f>
        <v>Existing Services</v>
      </c>
      <c r="L23" t="str">
        <f t="shared" si="1"/>
        <v>Partner-Led</v>
      </c>
      <c r="M23" s="3">
        <v>2</v>
      </c>
    </row>
    <row r="24" spans="11:13">
      <c r="K24" t="str">
        <f>MainTable[[#Headers],[Existing Services]]</f>
        <v>Existing Services</v>
      </c>
      <c r="L24" t="str">
        <f t="shared" si="1"/>
        <v>None</v>
      </c>
      <c r="M24" s="3">
        <v>1</v>
      </c>
    </row>
    <row r="25" spans="11:13">
      <c r="K25" t="str">
        <f>MainTable[[#Headers],[Existing Services]]</f>
        <v>Existing Services</v>
      </c>
      <c r="L25" t="str">
        <f t="shared" si="1"/>
        <v>Other</v>
      </c>
      <c r="M25" s="3">
        <v>0</v>
      </c>
    </row>
    <row r="26" spans="11:13">
      <c r="K26" t="str">
        <f>MainTable[[#Headers],[Approximate Deal Size]]</f>
        <v>Approximate Deal Size</v>
      </c>
      <c r="L26" t="str">
        <f>E3</f>
        <v>&lt;$100,000</v>
      </c>
      <c r="M26" s="3">
        <v>2</v>
      </c>
    </row>
    <row r="27" spans="11:13">
      <c r="K27" t="str">
        <f>MainTable[[#Headers],[Approximate Deal Size]]</f>
        <v>Approximate Deal Size</v>
      </c>
      <c r="L27" t="str">
        <f t="shared" ref="L27:L29" si="2">E4</f>
        <v>$100,000-$500,000</v>
      </c>
      <c r="M27" s="3">
        <v>5</v>
      </c>
    </row>
    <row r="28" spans="11:13">
      <c r="K28" t="str">
        <f>MainTable[[#Headers],[Approximate Deal Size]]</f>
        <v>Approximate Deal Size</v>
      </c>
      <c r="L28" t="str">
        <f t="shared" si="2"/>
        <v>$500,000-$1M</v>
      </c>
      <c r="M28" s="3">
        <v>7</v>
      </c>
    </row>
    <row r="29" spans="11:13">
      <c r="K29" t="str">
        <f>MainTable[[#Headers],[Approximate Deal Size]]</f>
        <v>Approximate Deal Size</v>
      </c>
      <c r="L29" t="str">
        <f t="shared" si="2"/>
        <v>&gt;$1M</v>
      </c>
      <c r="M29" s="3">
        <v>10</v>
      </c>
    </row>
    <row r="30" spans="11:13">
      <c r="K30" t="str">
        <f>MainTable[[#Headers],[Customer Network Access]]</f>
        <v>Customer Network Access</v>
      </c>
      <c r="L30" t="str">
        <f>F3</f>
        <v>Yes</v>
      </c>
      <c r="M30" s="3">
        <v>10</v>
      </c>
    </row>
    <row r="31" spans="11:13">
      <c r="K31" t="str">
        <f>MainTable[[#Headers],[Customer Network Access]]</f>
        <v>Customer Network Access</v>
      </c>
      <c r="L31" t="str">
        <f>F4</f>
        <v>No</v>
      </c>
      <c r="M31" s="3">
        <v>0</v>
      </c>
    </row>
    <row r="32" spans="11:13">
      <c r="K32" t="str">
        <f>MainTable[[#Headers],[Start Date]]</f>
        <v>Start Date</v>
      </c>
      <c r="L32" t="str">
        <f>G3</f>
        <v>1 Month</v>
      </c>
      <c r="M32" s="3">
        <v>2</v>
      </c>
    </row>
    <row r="33" spans="11:13">
      <c r="K33" t="str">
        <f>MainTable[[#Headers],[Start Date]]</f>
        <v>Start Date</v>
      </c>
      <c r="L33" t="str">
        <f t="shared" ref="L33:L36" si="3">G4</f>
        <v>3 Months</v>
      </c>
      <c r="M33" s="3">
        <v>4</v>
      </c>
    </row>
    <row r="34" spans="11:13">
      <c r="K34" t="str">
        <f>MainTable[[#Headers],[Start Date]]</f>
        <v>Start Date</v>
      </c>
      <c r="L34" t="str">
        <f t="shared" si="3"/>
        <v>6 Months</v>
      </c>
      <c r="M34" s="3">
        <v>6</v>
      </c>
    </row>
    <row r="35" spans="11:13">
      <c r="K35" t="str">
        <f>MainTable[[#Headers],[Start Date]]</f>
        <v>Start Date</v>
      </c>
      <c r="L35" t="str">
        <f t="shared" si="3"/>
        <v>9 Months</v>
      </c>
      <c r="M35" s="3">
        <v>8</v>
      </c>
    </row>
    <row r="36" spans="11:13">
      <c r="K36" t="str">
        <f>MainTable[[#Headers],[Start Date]]</f>
        <v>Start Date</v>
      </c>
      <c r="L36" t="str">
        <f t="shared" si="3"/>
        <v>1 Year</v>
      </c>
      <c r="M36" s="3">
        <v>10</v>
      </c>
    </row>
    <row r="37" spans="11:13">
      <c r="K37" t="str">
        <f>MainTable[[#Headers],[Implementation Team]]</f>
        <v>Implementation Team</v>
      </c>
      <c r="L37" t="str">
        <f>H3</f>
        <v>Theater</v>
      </c>
      <c r="M37" s="3">
        <v>8</v>
      </c>
    </row>
    <row r="38" spans="11:13">
      <c r="K38" t="str">
        <f>MainTable[[#Headers],[Implementation Team]]</f>
        <v>Implementation Team</v>
      </c>
      <c r="L38" t="str">
        <f t="shared" ref="L38:L42" si="4">H4</f>
        <v>Migration</v>
      </c>
      <c r="M38" s="3">
        <v>4</v>
      </c>
    </row>
    <row r="39" spans="11:13">
      <c r="K39" t="str">
        <f>MainTable[[#Headers],[Implementation Team]]</f>
        <v>Implementation Team</v>
      </c>
      <c r="L39" t="str">
        <f t="shared" si="4"/>
        <v>Partner</v>
      </c>
      <c r="M39" s="3">
        <v>2</v>
      </c>
    </row>
    <row r="40" spans="11:13">
      <c r="K40" t="str">
        <f>MainTable[[#Headers],[Implementation Team]]</f>
        <v>Implementation Team</v>
      </c>
      <c r="L40" t="str">
        <f t="shared" si="4"/>
        <v>Customer</v>
      </c>
      <c r="M40" s="3">
        <v>1</v>
      </c>
    </row>
    <row r="41" spans="11:13">
      <c r="K41" t="str">
        <f>MainTable[[#Headers],[Implementation Team]]</f>
        <v>Implementation Team</v>
      </c>
      <c r="L41" t="str">
        <f t="shared" si="4"/>
        <v>CMS</v>
      </c>
      <c r="M41" s="3">
        <v>5</v>
      </c>
    </row>
    <row r="42" spans="11:13">
      <c r="K42" t="str">
        <f>MainTable[[#Headers],[Implementation Team]]</f>
        <v>Implementation Team</v>
      </c>
      <c r="L42" t="str">
        <f t="shared" si="4"/>
        <v>Other</v>
      </c>
      <c r="M42" s="3">
        <v>0</v>
      </c>
    </row>
  </sheetData>
  <sheetProtection sheet="1" objects="1" scenarios="1"/>
  <pageMargins left="0.7" right="0.7" top="0.75" bottom="0.75" header="0.3" footer="0.3"/>
  <tableParts count="2">
    <tablePart r:id="rId1"/>
    <tablePart r:id="rId2"/>
  </tableParts>
</worksheet>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as-code score</vt:lpstr>
      <vt:lpstr>ref_values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Dhrumil Prajapati (dhprajap)</dc:creator>
  <cp:keywords/>
  <dc:description/>
  <cp:lastModifiedBy>Mike Brown (michabr4)</cp:lastModifiedBy>
  <cp:revision/>
  <dcterms:created xsi:type="dcterms:W3CDTF">2025-11-10T15:13:45Z</dcterms:created>
  <dcterms:modified xsi:type="dcterms:W3CDTF">2026-04-15T14:47:09Z</dcterms:modified>
  <cp:category/>
  <cp:contentStatus/>
</cp:coreProperties>
</file>